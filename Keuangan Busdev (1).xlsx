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" sheetId="1" r:id="rId5"/>
    <sheet state="visible" name="Sri" sheetId="2" r:id="rId6"/>
    <sheet state="visible" name="Lucky" sheetId="3" r:id="rId7"/>
    <sheet state="visible" name="Kur" sheetId="4" r:id="rId8"/>
    <sheet state="visible" name="irvan" sheetId="5" r:id="rId9"/>
  </sheets>
  <definedNames/>
  <calcPr/>
</workbook>
</file>

<file path=xl/sharedStrings.xml><?xml version="1.0" encoding="utf-8"?>
<sst xmlns="http://schemas.openxmlformats.org/spreadsheetml/2006/main" count="136" uniqueCount="72">
  <si>
    <t>BUKU PENGELUARAN &amp; REIMBURSEMENT PERSEKOT - KUR</t>
  </si>
  <si>
    <t>BUKU PENGELUARAN &amp; REIMBURSEMENT PERSEKOT - LUCKY</t>
  </si>
  <si>
    <t>BUKU PENGELUARAN &amp; REIMBURSEMENT PERSEKOT - SRI</t>
  </si>
  <si>
    <t>TAHUN 2026</t>
  </si>
  <si>
    <t>Nama Pemegang Kas: Lucky   |   Divisi: Business Development   |   Pencatatan Nota &amp; Kas Bon</t>
  </si>
  <si>
    <t>Nama Pemegang Kas: Sri   |   Divisi: Business Development   |   Pencatatan Nota &amp; Kas Bon</t>
  </si>
  <si>
    <t>Nama Pemegang Kas: Kur   |   Divisi: Business Development   |   Pencatatan Nota &amp; Kas Bon</t>
  </si>
  <si>
    <t>DASHBOARD REKAPITULASI DANA PERSEKOT, REIMBURSEMENT &amp; OPNAME KAS FISIK</t>
  </si>
  <si>
    <t>Total Persekot Diterima</t>
  </si>
  <si>
    <t>Monitoring Pengeluaran, Distribusi Kas Bon Tim, dan Audit Keseimbangan Fisik vs Catatan (Plafon Kas: Rp 7.000.000)</t>
  </si>
  <si>
    <t>KONTROL KAS INDUK PERSEKOT</t>
  </si>
  <si>
    <t>Total Kas Induk Persekot (Plafon Awal)</t>
  </si>
  <si>
    <t>Total Realisasi Belanja (Nota)</t>
  </si>
  <si>
    <t>Sisa Saldo Catatan (Buku)</t>
  </si>
  <si>
    <t>Balik Persekot GA</t>
  </si>
  <si>
    <t>Sisa Uang Fisik Riil (Hasil Opname)</t>
  </si>
  <si>
    <t>Total Persekot Didistribusikan ke Tim</t>
  </si>
  <si>
    <t>Selisih / Gap Fisik (Fisik - Buku)</t>
  </si>
  <si>
    <t>Status Keseimbangan Fisik</t>
  </si>
  <si>
    <t>Sisa Dana di Kas Induk (Belum Dibagi)</t>
  </si>
  <si>
    <t>Status Distribusi Kas Induk</t>
  </si>
  <si>
    <t>No.</t>
  </si>
  <si>
    <t>Tanggal</t>
  </si>
  <si>
    <t>No. Bukti / Nota</t>
  </si>
  <si>
    <t>Keterangan / Uraian Belanja</t>
  </si>
  <si>
    <t>Pos / Kategori Biaya</t>
  </si>
  <si>
    <t>Persekot Masuk (Rp)</t>
  </si>
  <si>
    <t>Pengeluaran / Nota (Rp)</t>
  </si>
  <si>
    <t>REKAPITULASI PENGELUARAN, SALDO BUKU &amp; SISA UANG FISIK RIIL</t>
  </si>
  <si>
    <t>Saldo Berjalan (Rp)</t>
  </si>
  <si>
    <t>Status Bukti Fisik</t>
  </si>
  <si>
    <t>2026-01-09</t>
  </si>
  <si>
    <t>Nama Anggota</t>
  </si>
  <si>
    <t>KAS-01</t>
  </si>
  <si>
    <t>Divisi / Pos</t>
  </si>
  <si>
    <t>Penerimaan Persekot Awal</t>
  </si>
  <si>
    <t>Persekot Diterima (Rp)</t>
  </si>
  <si>
    <t>Realisasi Belanja (Rp)</t>
  </si>
  <si>
    <t>Persekot Kas</t>
  </si>
  <si>
    <t>Saldo Catatan Buku (Rp)</t>
  </si>
  <si>
    <t>Sisa Uang Fisik Riil (Rp)
[KOLOM INPUT KAS]</t>
  </si>
  <si>
    <t>Kas Diterima</t>
  </si>
  <si>
    <t>Selisih / Gap Fisik (Rp)
[Fisik - Buku]</t>
  </si>
  <si>
    <t>Status Gap Fisik</t>
  </si>
  <si>
    <t>Tindak Lanjut / Action</t>
  </si>
  <si>
    <t>Sri</t>
  </si>
  <si>
    <t>Dapur</t>
  </si>
  <si>
    <t>Lucky</t>
  </si>
  <si>
    <t>GA</t>
  </si>
  <si>
    <t>Kur</t>
  </si>
  <si>
    <t>OB</t>
  </si>
  <si>
    <t>irvan</t>
  </si>
  <si>
    <t>Manager</t>
  </si>
  <si>
    <t>TOTAL KESELURUHAN TIM</t>
  </si>
  <si>
    <t>KONTROL KESEIMBANGAN &amp; AUDIT DANA PERSEKOT (BALANCE CHECK)</t>
  </si>
  <si>
    <t>1. Plafon Kas Induk Persekot (Budget Awal)</t>
  </si>
  <si>
    <t>Plafon dana awal yang disediakan manajemen (Rp 7.000.000)</t>
  </si>
  <si>
    <t>2. Total Realisasi Belanja Tim (Nota Sah)</t>
  </si>
  <si>
    <t>Total kuitansi/nota belanja tim yang sudah keluar</t>
  </si>
  <si>
    <t>3. Total Sisa Uang Fisik Riil Tim (Hasil Opname)</t>
  </si>
  <si>
    <t>Total lembaran/koin fisik uang di tangan seluruh anggota</t>
  </si>
  <si>
    <t>4. Sisa Fisik Dana di Kas Induk (Belum Dibagi)</t>
  </si>
  <si>
    <t>Fisik uang tunai yang masih tertahan di kasir utama</t>
  </si>
  <si>
    <t>5. Total Pertanggungjawaban Fisik (Belanja + Uang Fisik)</t>
  </si>
  <si>
    <t>Total Uang Fisik + Nota (Wajib tepat sama dengan Plafon 7 Juta)</t>
  </si>
  <si>
    <t>6. Selisih / Gap Keseimbangan Kas (Audit Variance)</t>
  </si>
  <si>
    <t>Wajib bernilai Rp 0 agar dinyatakan Klop / Balance</t>
  </si>
  <si>
    <t>STATUS KESEIMBANGAN AUDIT KAS (BALANCE CHECK)</t>
  </si>
  <si>
    <t>Formula otomatis mendeteksi selisih fisik vs plafon</t>
  </si>
  <si>
    <t>BUKU PENGELUARAN &amp; REIMBURSEMENT PERSEKOT - IRVAN</t>
  </si>
  <si>
    <t>Nama Pemegang Kas: irvan   |   Divisi: Business Development   |   Pencatatan Nota &amp; Kas Bon</t>
  </si>
  <si>
    <t>TOTAL PERSEKOT &amp; REALISASI PENGELUARAN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</si>
</sst>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\(#,##0\);&quot;-&quot;"/>
  </numFmts>
  <fonts count="11">
    <font>
      <sz val="11.0"/>
      <color theme="1"/>
      <name val="Calibri"/>
      <scheme val="minor"/>
    </font>
    <font>
      <b/>
      <sz val="13.0"/>
      <color rgb="FFFFFFFF"/>
      <name val="Quattrocento Sans"/>
    </font>
    <font/>
    <font>
      <i/>
      <sz val="9.0"/>
      <color rgb="FFEAECEE"/>
      <name val="Quattrocento Sans"/>
    </font>
    <font>
      <sz val="10.0"/>
      <color rgb="FF000000"/>
      <name val="Quattrocento Sans"/>
    </font>
    <font>
      <b/>
      <sz val="11.0"/>
      <color rgb="FF1B365D"/>
      <name val="Quattrocento Sans"/>
    </font>
    <font>
      <b/>
      <sz val="12.0"/>
      <color theme="1"/>
      <name val="Calibri"/>
      <scheme val="minor"/>
    </font>
    <font>
      <b/>
      <sz val="10.0"/>
      <color rgb="FF000000"/>
      <name val="Quattrocento Sans"/>
    </font>
    <font>
      <b/>
      <sz val="10.0"/>
      <color rgb="FFFFFFFF"/>
      <name val="Quattrocento Sans"/>
    </font>
    <font>
      <sz val="11.0"/>
      <color theme="1"/>
      <name val="Calibri"/>
    </font>
    <font>
      <i/>
      <sz val="9.0"/>
      <color rgb="FF555555"/>
      <name val="Quattrocento Sans"/>
    </font>
  </fonts>
  <fills count="12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8F9F9"/>
        <bgColor rgb="FFF8F9F9"/>
      </patternFill>
    </fill>
    <fill>
      <patternFill patternType="solid">
        <fgColor rgb="FFEAF2F8"/>
        <bgColor rgb="FFEAF2F8"/>
      </patternFill>
    </fill>
    <fill>
      <patternFill patternType="solid">
        <fgColor rgb="FFFFF9C4"/>
        <bgColor rgb="FFFFF9C4"/>
      </patternFill>
    </fill>
    <fill>
      <patternFill patternType="solid">
        <fgColor rgb="FFE8F8F5"/>
        <bgColor rgb="FFE8F8F5"/>
      </patternFill>
    </fill>
    <fill>
      <patternFill patternType="solid">
        <fgColor rgb="FF24436E"/>
        <bgColor rgb="FF24436E"/>
      </patternFill>
    </fill>
    <fill>
      <patternFill patternType="solid">
        <fgColor rgb="FFD35400"/>
        <bgColor rgb="FFD35400"/>
      </patternFill>
    </fill>
    <fill>
      <patternFill patternType="solid">
        <fgColor rgb="FFF4F6F6"/>
        <bgColor rgb="FFF4F6F6"/>
      </patternFill>
    </fill>
    <fill>
      <patternFill patternType="solid">
        <fgColor rgb="FFEAEDED"/>
        <bgColor rgb="FFEAEDED"/>
      </patternFill>
    </fill>
    <fill>
      <patternFill patternType="solid">
        <fgColor rgb="FF27AE60"/>
        <bgColor rgb="FF27AE6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medium">
        <color rgb="FF1B365D"/>
      </top>
      <bottom style="medium">
        <color rgb="FF1B365D"/>
      </bottom>
    </border>
    <border>
      <left style="thin">
        <color rgb="FFBDC3C7"/>
      </left>
      <top style="thin">
        <color rgb="FFBDC3C7"/>
      </top>
      <bottom style="double">
        <color rgb="FF1B365D"/>
      </bottom>
    </border>
    <border>
      <top style="thin">
        <color rgb="FFBDC3C7"/>
      </top>
      <bottom style="double">
        <color rgb="FF1B365D"/>
      </bottom>
    </border>
    <border>
      <right style="thin">
        <color rgb="FFBDC3C7"/>
      </right>
      <top style="thin">
        <color rgb="FFBDC3C7"/>
      </top>
      <bottom style="double">
        <color rgb="FF1B365D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double">
        <color rgb="FF1B365D"/>
      </bottom>
    </border>
    <border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0" fillId="2" fontId="1" numFmtId="0" xfId="0" applyAlignment="1" applyFill="1" applyFont="1">
      <alignment horizontal="center" readingOrder="0" vertical="center"/>
    </xf>
    <xf borderId="3" fillId="0" fontId="2" numFmtId="0" xfId="0" applyBorder="1" applyFont="1"/>
    <xf borderId="1" fillId="2" fontId="3" numFmtId="0" xfId="0" applyAlignment="1" applyBorder="1" applyFill="1" applyFont="1">
      <alignment horizontal="left" vertical="center"/>
    </xf>
    <xf borderId="4" fillId="3" fontId="4" numFmtId="0" xfId="0" applyAlignment="1" applyBorder="1" applyFill="1" applyFont="1">
      <alignment horizontal="left" vertical="center"/>
    </xf>
    <xf borderId="5" fillId="0" fontId="2" numFmtId="0" xfId="0" applyBorder="1" applyFont="1"/>
    <xf borderId="0" fillId="0" fontId="5" numFmtId="0" xfId="0" applyFont="1"/>
    <xf borderId="6" fillId="4" fontId="4" numFmtId="164" xfId="0" applyAlignment="1" applyBorder="1" applyFill="1" applyFont="1" applyNumberFormat="1">
      <alignment horizontal="right" vertical="center"/>
    </xf>
    <xf borderId="0" fillId="0" fontId="6" numFmtId="0" xfId="0" applyAlignment="1" applyFont="1">
      <alignment readingOrder="0"/>
    </xf>
    <xf borderId="4" fillId="3" fontId="7" numFmtId="0" xfId="0" applyAlignment="1" applyBorder="1" applyFill="1" applyFont="1">
      <alignment horizontal="left" vertical="center"/>
    </xf>
    <xf borderId="6" fillId="4" fontId="7" numFmtId="164" xfId="0" applyAlignment="1" applyBorder="1" applyFill="1" applyFont="1" applyNumberFormat="1">
      <alignment horizontal="right" vertical="center"/>
    </xf>
    <xf borderId="0" fillId="0" fontId="6" numFmtId="164" xfId="0" applyFont="1" applyNumberFormat="1"/>
    <xf borderId="6" fillId="5" fontId="7" numFmtId="164" xfId="0" applyAlignment="1" applyBorder="1" applyFill="1" applyFont="1" applyNumberFormat="1">
      <alignment horizontal="right" vertical="center"/>
    </xf>
    <xf borderId="6" fillId="6" fontId="7" numFmtId="164" xfId="0" applyAlignment="1" applyBorder="1" applyFill="1" applyFont="1" applyNumberFormat="1">
      <alignment horizontal="right" vertical="center"/>
    </xf>
    <xf borderId="6" fillId="6" fontId="7" numFmtId="49" xfId="0" applyAlignment="1" applyBorder="1" applyFill="1" applyFont="1" applyNumberFormat="1">
      <alignment horizontal="center" vertical="center"/>
    </xf>
    <xf borderId="7" fillId="7" fontId="8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vertical="center"/>
    </xf>
    <xf borderId="6" fillId="0" fontId="7" numFmtId="164" xfId="0" applyAlignment="1" applyBorder="1" applyFont="1" applyNumberFormat="1">
      <alignment horizontal="right" readingOrder="0" vertical="center"/>
    </xf>
    <xf borderId="6" fillId="0" fontId="7" numFmtId="164" xfId="0" applyAlignment="1" applyBorder="1" applyFont="1" applyNumberFormat="1">
      <alignment horizontal="right" vertical="center"/>
    </xf>
    <xf borderId="6" fillId="0" fontId="4" numFmtId="164" xfId="0" applyAlignment="1" applyBorder="1" applyFont="1" applyNumberFormat="1">
      <alignment horizontal="right" vertical="center"/>
    </xf>
    <xf borderId="7" fillId="8" fontId="8" numFmtId="0" xfId="0" applyAlignment="1" applyBorder="1" applyFill="1" applyFont="1">
      <alignment horizontal="center" shrinkToFit="0" vertical="center" wrapText="1"/>
    </xf>
    <xf borderId="6" fillId="9" fontId="4" numFmtId="0" xfId="0" applyAlignment="1" applyBorder="1" applyFill="1" applyFont="1">
      <alignment horizontal="center" vertical="center"/>
    </xf>
    <xf borderId="6" fillId="9" fontId="4" numFmtId="0" xfId="0" applyAlignment="1" applyBorder="1" applyFill="1" applyFont="1">
      <alignment horizontal="left" vertical="center"/>
    </xf>
    <xf borderId="6" fillId="9" fontId="4" numFmtId="164" xfId="0" applyAlignment="1" applyBorder="1" applyFill="1" applyFont="1" applyNumberFormat="1">
      <alignment horizontal="right" vertical="center"/>
    </xf>
    <xf borderId="6" fillId="9" fontId="4" numFmtId="164" xfId="0" applyAlignment="1" applyBorder="1" applyFill="1" applyFont="1" applyNumberFormat="1">
      <alignment horizontal="right" readingOrder="0" vertical="center"/>
    </xf>
    <xf borderId="6" fillId="9" fontId="7" numFmtId="164" xfId="0" applyAlignment="1" applyBorder="1" applyFill="1" applyFont="1" applyNumberFormat="1">
      <alignment horizontal="right" vertical="center"/>
    </xf>
    <xf borderId="6" fillId="9" fontId="9" numFmtId="0" xfId="0" applyBorder="1" applyFill="1" applyFont="1"/>
    <xf borderId="6" fillId="0" fontId="9" numFmtId="0" xfId="0" applyBorder="1" applyFont="1"/>
    <xf borderId="6" fillId="5" fontId="7" numFmtId="164" xfId="0" applyAlignment="1" applyBorder="1" applyFill="1" applyFont="1" applyNumberFormat="1">
      <alignment horizontal="right" readingOrder="0" vertical="center"/>
    </xf>
    <xf borderId="6" fillId="0" fontId="7" numFmtId="0" xfId="0" applyAlignment="1" applyBorder="1" applyFont="1">
      <alignment horizontal="center" vertical="center"/>
    </xf>
    <xf borderId="6" fillId="9" fontId="7" numFmtId="0" xfId="0" applyAlignment="1" applyBorder="1" applyFill="1" applyFont="1">
      <alignment horizontal="left" vertical="center"/>
    </xf>
    <xf borderId="6" fillId="9" fontId="7" numFmtId="0" xfId="0" applyAlignment="1" applyBorder="1" applyFill="1" applyFont="1">
      <alignment horizontal="center" vertical="center"/>
    </xf>
    <xf borderId="6" fillId="0" fontId="4" numFmtId="164" xfId="0" applyAlignment="1" applyBorder="1" applyFont="1" applyNumberFormat="1">
      <alignment horizontal="right" readingOrder="0" vertical="center"/>
    </xf>
    <xf borderId="8" fillId="10" fontId="7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10" fontId="7" numFmtId="164" xfId="0" applyAlignment="1" applyBorder="1" applyFill="1" applyFont="1" applyNumberFormat="1">
      <alignment horizontal="right" vertical="center"/>
    </xf>
    <xf borderId="11" fillId="10" fontId="7" numFmtId="0" xfId="0" applyAlignment="1" applyBorder="1" applyFill="1" applyFont="1">
      <alignment horizontal="center" vertical="center"/>
    </xf>
    <xf borderId="11" fillId="10" fontId="7" numFmtId="0" xfId="0" applyAlignment="1" applyBorder="1" applyFill="1" applyFont="1">
      <alignment horizontal="left" vertical="center"/>
    </xf>
    <xf borderId="12" fillId="0" fontId="2" numFmtId="0" xfId="0" applyBorder="1" applyFont="1"/>
    <xf borderId="4" fillId="6" fontId="7" numFmtId="164" xfId="0" applyAlignment="1" applyBorder="1" applyFill="1" applyFont="1" applyNumberFormat="1">
      <alignment horizontal="right" vertical="center"/>
    </xf>
    <xf borderId="4" fillId="3" fontId="10" numFmtId="0" xfId="0" applyAlignment="1" applyBorder="1" applyFill="1" applyFont="1">
      <alignment horizontal="left" vertical="center"/>
    </xf>
    <xf borderId="4" fillId="4" fontId="7" numFmtId="164" xfId="0" applyAlignment="1" applyBorder="1" applyFill="1" applyFont="1" applyNumberFormat="1">
      <alignment horizontal="right" vertical="center"/>
    </xf>
    <xf borderId="4" fillId="11" fontId="8" numFmtId="0" xfId="0" applyAlignment="1" applyBorder="1" applyFill="1" applyFont="1">
      <alignment horizontal="left" vertical="center"/>
    </xf>
    <xf borderId="4" fillId="11" fontId="8" numFmtId="49" xfId="0" applyAlignment="1" applyBorder="1" applyFill="1" applyFont="1" applyNumberFormat="1">
      <alignment horizontal="center" vertical="center"/>
    </xf>
    <xf borderId="11" fillId="10" fontId="9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5.0"/>
    <col customWidth="1" min="3" max="3" width="27.43"/>
    <col customWidth="1" min="4" max="4" width="34.29"/>
    <col customWidth="1" min="5" max="5" width="20.0"/>
    <col customWidth="1" min="6" max="6" width="38.0"/>
    <col customWidth="1" min="7" max="7" width="24.0"/>
    <col customWidth="1" min="8" max="8" width="22.0"/>
    <col customWidth="1" min="9" max="9" width="20.0"/>
    <col customWidth="1" min="10" max="10" width="30.0"/>
    <col customWidth="1" min="11" max="26" width="8.71"/>
  </cols>
  <sheetData>
    <row r="1" ht="27.75" customHeight="1">
      <c r="A1" s="3" t="s">
        <v>3</v>
      </c>
    </row>
    <row r="2" ht="27.75" customHeight="1"/>
    <row r="3" ht="27.75" customHeight="1">
      <c r="A3" s="1" t="s">
        <v>7</v>
      </c>
      <c r="B3" s="2"/>
      <c r="C3" s="2"/>
      <c r="D3" s="2"/>
      <c r="E3" s="2"/>
      <c r="F3" s="2"/>
      <c r="G3" s="2"/>
      <c r="H3" s="2"/>
      <c r="I3" s="2"/>
      <c r="J3" s="4"/>
    </row>
    <row r="4" ht="18.0" customHeight="1">
      <c r="A4" s="5" t="s">
        <v>9</v>
      </c>
      <c r="B4" s="2"/>
      <c r="C4" s="2"/>
      <c r="D4" s="2"/>
      <c r="E4" s="2"/>
      <c r="F4" s="2"/>
      <c r="G4" s="2"/>
      <c r="H4" s="2"/>
      <c r="I4" s="2"/>
      <c r="J4" s="4"/>
    </row>
    <row r="6">
      <c r="B6" s="8" t="s">
        <v>10</v>
      </c>
    </row>
    <row r="7" ht="19.5" customHeight="1">
      <c r="B7" s="6" t="s">
        <v>11</v>
      </c>
      <c r="C7" s="7"/>
      <c r="D7" s="9">
        <v>7000000.0</v>
      </c>
      <c r="F7" s="10" t="s">
        <v>14</v>
      </c>
      <c r="G7" s="13">
        <f>sum(E14:E16)</f>
        <v>0</v>
      </c>
    </row>
    <row r="8" ht="19.5" customHeight="1">
      <c r="B8" s="6" t="s">
        <v>16</v>
      </c>
      <c r="C8" s="7"/>
      <c r="D8" s="9">
        <f>D18</f>
        <v>7000000</v>
      </c>
    </row>
    <row r="9" ht="19.5" customHeight="1">
      <c r="B9" s="6" t="s">
        <v>19</v>
      </c>
      <c r="C9" s="7"/>
      <c r="D9" s="9">
        <f>D7-D8</f>
        <v>0</v>
      </c>
    </row>
    <row r="10" ht="19.5" customHeight="1">
      <c r="B10" s="11" t="s">
        <v>20</v>
      </c>
      <c r="C10" s="7"/>
      <c r="D10" s="16" t="str">
        <f>IF(D9=0, "100% Teralokasi ke Tim", IF(D9&gt;0, "Sebagian Dana Masih di Kas Induk", "PERINGATAN: Melebihi Plafon Kas!"))</f>
        <v>100% Teralokasi ke Tim</v>
      </c>
    </row>
    <row r="12">
      <c r="A12" s="8" t="s">
        <v>28</v>
      </c>
    </row>
    <row r="13" ht="31.5" customHeight="1">
      <c r="A13" s="17" t="s">
        <v>21</v>
      </c>
      <c r="B13" s="17" t="s">
        <v>32</v>
      </c>
      <c r="C13" s="17" t="s">
        <v>34</v>
      </c>
      <c r="D13" s="17" t="s">
        <v>36</v>
      </c>
      <c r="E13" s="17" t="s">
        <v>37</v>
      </c>
      <c r="F13" s="17" t="s">
        <v>39</v>
      </c>
      <c r="G13" s="24" t="s">
        <v>40</v>
      </c>
      <c r="H13" s="17" t="s">
        <v>42</v>
      </c>
      <c r="I13" s="17" t="s">
        <v>43</v>
      </c>
      <c r="J13" s="17" t="s">
        <v>44</v>
      </c>
    </row>
    <row r="14" ht="21.75" customHeight="1">
      <c r="A14" s="18">
        <v>1.0</v>
      </c>
      <c r="B14" s="19" t="s">
        <v>45</v>
      </c>
      <c r="C14" s="20" t="s">
        <v>46</v>
      </c>
      <c r="D14" s="23">
        <f>Sri!D4</f>
        <v>2500000</v>
      </c>
      <c r="E14" s="23">
        <f>Sri!D5</f>
        <v>0</v>
      </c>
      <c r="F14" s="22">
        <f t="shared" ref="F14:F17" si="1">D14-E14</f>
        <v>2500000</v>
      </c>
      <c r="G14" s="32">
        <v>2500000.0</v>
      </c>
      <c r="H14" s="22">
        <f t="shared" ref="H14:H17" si="2">G14-F14</f>
        <v>0</v>
      </c>
      <c r="I14" s="33" t="str">
        <f t="shared" ref="I14:I17" si="3">IF(H14=0, "✅ PAS / KLOP", IF(H14&lt;0, "❌ KURANG (Tekor)", "⚠️ LEBIH"))</f>
        <v>✅ PAS / KLOP</v>
      </c>
      <c r="J14" s="20" t="str">
        <f t="shared" ref="J14:J17" si="4">IF(H14=0, IF(F14&gt;0, "Setor sisa Rp " &amp; TEXT(F14, "#,##0") &amp; " ke Kasir", "Lunas / Pas"), IF(H14&lt;0, "Wajib ganti tekor Rp " &amp; TEXT(ABS(H14), "#,##0"), "Setor kelebihan Rp " &amp; TEXT(H14, "#,##0")))</f>
        <v>Setor sisa Rp 2,500,000 ke Kasir</v>
      </c>
    </row>
    <row r="15" ht="21.75" customHeight="1">
      <c r="A15" s="25">
        <v>2.0</v>
      </c>
      <c r="B15" s="34" t="s">
        <v>47</v>
      </c>
      <c r="C15" s="26" t="s">
        <v>48</v>
      </c>
      <c r="D15" s="28">
        <f>Lucky!F12</f>
        <v>3200000</v>
      </c>
      <c r="E15" s="27">
        <f>Lucky!D5</f>
        <v>0</v>
      </c>
      <c r="F15" s="29">
        <f t="shared" si="1"/>
        <v>3200000</v>
      </c>
      <c r="G15" s="32">
        <v>3200000.0</v>
      </c>
      <c r="H15" s="29">
        <f t="shared" si="2"/>
        <v>0</v>
      </c>
      <c r="I15" s="35" t="str">
        <f t="shared" si="3"/>
        <v>✅ PAS / KLOP</v>
      </c>
      <c r="J15" s="26" t="str">
        <f t="shared" si="4"/>
        <v>Setor sisa Rp 3,200,000 ke Kasir</v>
      </c>
    </row>
    <row r="16" ht="21.75" customHeight="1">
      <c r="A16" s="18">
        <v>3.0</v>
      </c>
      <c r="B16" s="19" t="s">
        <v>49</v>
      </c>
      <c r="C16" s="20" t="s">
        <v>50</v>
      </c>
      <c r="D16" s="36">
        <f>Kur!F12</f>
        <v>300000</v>
      </c>
      <c r="E16" s="23">
        <f>Kur!D5</f>
        <v>0</v>
      </c>
      <c r="F16" s="22">
        <f t="shared" si="1"/>
        <v>300000</v>
      </c>
      <c r="G16" s="32">
        <v>300000.0</v>
      </c>
      <c r="H16" s="22">
        <f t="shared" si="2"/>
        <v>0</v>
      </c>
      <c r="I16" s="33" t="str">
        <f t="shared" si="3"/>
        <v>✅ PAS / KLOP</v>
      </c>
      <c r="J16" s="20" t="str">
        <f t="shared" si="4"/>
        <v>Setor sisa Rp 300,000 ke Kasir</v>
      </c>
    </row>
    <row r="17" ht="21.75" customHeight="1">
      <c r="A17" s="25">
        <v>4.0</v>
      </c>
      <c r="B17" s="34" t="s">
        <v>51</v>
      </c>
      <c r="C17" s="26" t="s">
        <v>52</v>
      </c>
      <c r="D17" s="28">
        <f>irvan!F12</f>
        <v>1000000</v>
      </c>
      <c r="E17" s="27">
        <f>irvan!D5</f>
        <v>0</v>
      </c>
      <c r="F17" s="29">
        <f t="shared" si="1"/>
        <v>1000000</v>
      </c>
      <c r="G17" s="32">
        <v>1000000.0</v>
      </c>
      <c r="H17" s="29">
        <f t="shared" si="2"/>
        <v>0</v>
      </c>
      <c r="I17" s="35" t="str">
        <f t="shared" si="3"/>
        <v>✅ PAS / KLOP</v>
      </c>
      <c r="J17" s="26" t="str">
        <f t="shared" si="4"/>
        <v>Setor sisa Rp 1,000,000 ke Kasir</v>
      </c>
    </row>
    <row r="18" ht="24.0" customHeight="1">
      <c r="A18" s="37" t="s">
        <v>53</v>
      </c>
      <c r="B18" s="38"/>
      <c r="C18" s="39"/>
      <c r="D18" s="40">
        <f t="shared" ref="D18:H18" si="5">SUM(D14:D17)</f>
        <v>7000000</v>
      </c>
      <c r="E18" s="40">
        <f t="shared" si="5"/>
        <v>0</v>
      </c>
      <c r="F18" s="40">
        <f t="shared" si="5"/>
        <v>7000000</v>
      </c>
      <c r="G18" s="40">
        <f t="shared" si="5"/>
        <v>7000000</v>
      </c>
      <c r="H18" s="40">
        <f t="shared" si="5"/>
        <v>0</v>
      </c>
      <c r="I18" s="41" t="str">
        <f>IF(H18=0, "✅ FISIK TIM KLOP", IF(H18&lt;0, "❌ TOTAL TEKOR " &amp; TEXT(ABS(H18), "#,##0"), "⚠️ TOTAL LEBIH"))</f>
        <v>✅ FISIK TIM KLOP</v>
      </c>
      <c r="J18" s="42" t="str">
        <f>IF(H18=0, "Semua fisik sesuai catatan", "Investigasi selisih fisik!")</f>
        <v>Semua fisik sesuai catatan</v>
      </c>
    </row>
    <row r="20">
      <c r="A20" s="8" t="s">
        <v>54</v>
      </c>
    </row>
    <row r="21" ht="21.75" customHeight="1">
      <c r="B21" s="11" t="s">
        <v>55</v>
      </c>
      <c r="C21" s="43"/>
      <c r="D21" s="7"/>
      <c r="E21" s="44">
        <f>D7</f>
        <v>7000000</v>
      </c>
      <c r="F21" s="7"/>
      <c r="G21" s="45" t="s">
        <v>56</v>
      </c>
      <c r="H21" s="43"/>
      <c r="I21" s="43"/>
      <c r="J21" s="7"/>
    </row>
    <row r="22" ht="21.75" customHeight="1">
      <c r="B22" s="6" t="s">
        <v>57</v>
      </c>
      <c r="C22" s="43"/>
      <c r="D22" s="7"/>
      <c r="E22" s="46">
        <f>E18</f>
        <v>0</v>
      </c>
      <c r="F22" s="7"/>
      <c r="G22" s="45" t="s">
        <v>58</v>
      </c>
      <c r="H22" s="43"/>
      <c r="I22" s="43"/>
      <c r="J22" s="7"/>
    </row>
    <row r="23" ht="21.75" customHeight="1">
      <c r="B23" s="6" t="s">
        <v>59</v>
      </c>
      <c r="C23" s="43"/>
      <c r="D23" s="7"/>
      <c r="E23" s="46">
        <f>G18</f>
        <v>7000000</v>
      </c>
      <c r="F23" s="7"/>
      <c r="G23" s="45" t="s">
        <v>60</v>
      </c>
      <c r="H23" s="43"/>
      <c r="I23" s="43"/>
      <c r="J23" s="7"/>
    </row>
    <row r="24" ht="21.75" customHeight="1">
      <c r="B24" s="6" t="s">
        <v>61</v>
      </c>
      <c r="C24" s="43"/>
      <c r="D24" s="7"/>
      <c r="E24" s="46">
        <f>D9</f>
        <v>0</v>
      </c>
      <c r="F24" s="7"/>
      <c r="G24" s="45" t="s">
        <v>62</v>
      </c>
      <c r="H24" s="43"/>
      <c r="I24" s="43"/>
      <c r="J24" s="7"/>
    </row>
    <row r="25" ht="21.75" customHeight="1">
      <c r="B25" s="11" t="s">
        <v>63</v>
      </c>
      <c r="C25" s="43"/>
      <c r="D25" s="7"/>
      <c r="E25" s="44">
        <f>E22+E23+E24</f>
        <v>7000000</v>
      </c>
      <c r="F25" s="7"/>
      <c r="G25" s="45" t="s">
        <v>64</v>
      </c>
      <c r="H25" s="43"/>
      <c r="I25" s="43"/>
      <c r="J25" s="7"/>
    </row>
    <row r="26" ht="21.75" customHeight="1">
      <c r="B26" s="6" t="s">
        <v>65</v>
      </c>
      <c r="C26" s="43"/>
      <c r="D26" s="7"/>
      <c r="E26" s="46">
        <f>E25-E21</f>
        <v>0</v>
      </c>
      <c r="F26" s="7"/>
      <c r="G26" s="45" t="s">
        <v>66</v>
      </c>
      <c r="H26" s="43"/>
      <c r="I26" s="43"/>
      <c r="J26" s="7"/>
    </row>
    <row r="27" ht="21.75" customHeight="1">
      <c r="B27" s="47" t="s">
        <v>67</v>
      </c>
      <c r="C27" s="43"/>
      <c r="D27" s="7"/>
      <c r="E27" s="48" t="str">
        <f>IF(E26=0, "✅ 100% BALANCE (Uang Fisik + Nota Lengkap Rp 7.000.000)", IF(E26&lt;0, "❌ FISIK TEKOR / KURANG " &amp; TEXT(ABS(E26), "Rp #,##0"), "⚠️ FISIK LEBIH " &amp; TEXT(E26, "Rp #,##0")))</f>
        <v>✅ 100% BALANCE (Uang Fisik + Nota Lengkap Rp 7.000.000)</v>
      </c>
      <c r="F27" s="7"/>
      <c r="G27" s="45" t="s">
        <v>68</v>
      </c>
      <c r="H27" s="43"/>
      <c r="I27" s="43"/>
      <c r="J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9">
    <mergeCell ref="A1:J2"/>
    <mergeCell ref="A3:J3"/>
    <mergeCell ref="A4:J4"/>
    <mergeCell ref="B7:C7"/>
    <mergeCell ref="B8:C8"/>
    <mergeCell ref="B9:C9"/>
    <mergeCell ref="B10:C10"/>
    <mergeCell ref="A18:C18"/>
    <mergeCell ref="B21:D21"/>
    <mergeCell ref="E21:F21"/>
    <mergeCell ref="G21:J21"/>
    <mergeCell ref="B22:D22"/>
    <mergeCell ref="E22:F22"/>
    <mergeCell ref="G22:J22"/>
    <mergeCell ref="E25:F25"/>
    <mergeCell ref="G25:J25"/>
    <mergeCell ref="B26:D26"/>
    <mergeCell ref="E26:F26"/>
    <mergeCell ref="G26:J26"/>
    <mergeCell ref="B27:D27"/>
    <mergeCell ref="E27:F27"/>
    <mergeCell ref="G27:J27"/>
    <mergeCell ref="B23:D23"/>
    <mergeCell ref="E23:F23"/>
    <mergeCell ref="G23:J23"/>
    <mergeCell ref="B24:D24"/>
    <mergeCell ref="E24:F24"/>
    <mergeCell ref="G24:J24"/>
    <mergeCell ref="B25:D2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21.71"/>
    <col customWidth="1" min="4" max="4" width="30.0"/>
    <col customWidth="1" min="5" max="5" width="20.0"/>
    <col customWidth="1" min="6" max="6" width="18.0"/>
    <col customWidth="1" min="7" max="7" width="20.0"/>
    <col customWidth="1" min="8" max="9" width="18.0"/>
    <col customWidth="1" min="10" max="26" width="8.71"/>
  </cols>
  <sheetData>
    <row r="1" ht="27.75" customHeight="1">
      <c r="A1" s="1" t="s">
        <v>2</v>
      </c>
      <c r="B1" s="2"/>
      <c r="C1" s="2"/>
      <c r="D1" s="2"/>
      <c r="E1" s="2"/>
      <c r="F1" s="2"/>
      <c r="G1" s="2"/>
      <c r="H1" s="2"/>
      <c r="I1" s="4"/>
    </row>
    <row r="2" ht="18.0" customHeight="1">
      <c r="A2" s="5" t="s">
        <v>5</v>
      </c>
      <c r="B2" s="2"/>
      <c r="C2" s="2"/>
      <c r="D2" s="2"/>
      <c r="E2" s="2"/>
      <c r="F2" s="2"/>
      <c r="G2" s="2"/>
      <c r="H2" s="2"/>
      <c r="I2" s="4"/>
    </row>
    <row r="4" ht="19.5" customHeight="1">
      <c r="B4" s="6" t="s">
        <v>8</v>
      </c>
      <c r="C4" s="7"/>
      <c r="D4" s="9">
        <f>F345</f>
        <v>2500000</v>
      </c>
    </row>
    <row r="5" ht="19.5" customHeight="1">
      <c r="B5" s="6" t="s">
        <v>12</v>
      </c>
      <c r="C5" s="7"/>
      <c r="D5" s="9">
        <f>G345</f>
        <v>0</v>
      </c>
    </row>
    <row r="6" ht="19.5" customHeight="1">
      <c r="B6" s="11" t="s">
        <v>13</v>
      </c>
      <c r="C6" s="7"/>
      <c r="D6" s="12">
        <f>D4-D5</f>
        <v>2500000</v>
      </c>
    </row>
    <row r="7" ht="19.5" customHeight="1">
      <c r="B7" s="11" t="s">
        <v>15</v>
      </c>
      <c r="C7" s="7"/>
      <c r="D7" s="14">
        <f>Resume!G14</f>
        <v>2500000</v>
      </c>
    </row>
    <row r="8" ht="19.5" customHeight="1">
      <c r="B8" s="11" t="s">
        <v>17</v>
      </c>
      <c r="C8" s="7"/>
      <c r="D8" s="15">
        <f>D7-D6</f>
        <v>0</v>
      </c>
    </row>
    <row r="9" ht="19.5" customHeight="1">
      <c r="B9" s="11" t="s">
        <v>18</v>
      </c>
      <c r="C9" s="7"/>
      <c r="D9" s="16" t="str">
        <f>IF(D8=0, "✅ PAS / KLOP (Uang Fisik Sesuai)", IF(D8&lt;0, "❌ FISIK TEKOR / KURANG " &amp; TEXT(ABS(D8), "Rp #,##0"), "⚠️ FISIK LEBIH"))</f>
        <v>✅ PAS / KLOP (Uang Fisik Sesuai)</v>
      </c>
    </row>
    <row r="11" ht="25.5" customHeight="1">
      <c r="A11" s="17" t="s">
        <v>21</v>
      </c>
      <c r="B11" s="17" t="s">
        <v>22</v>
      </c>
      <c r="C11" s="17" t="s">
        <v>23</v>
      </c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29</v>
      </c>
      <c r="I11" s="17" t="s">
        <v>30</v>
      </c>
    </row>
    <row r="12" ht="19.5" customHeight="1">
      <c r="A12" s="18">
        <v>1.0</v>
      </c>
      <c r="B12" s="18" t="s">
        <v>31</v>
      </c>
      <c r="C12" s="18" t="s">
        <v>33</v>
      </c>
      <c r="D12" s="19" t="s">
        <v>35</v>
      </c>
      <c r="E12" s="20" t="s">
        <v>38</v>
      </c>
      <c r="F12" s="22">
        <v>2500000.0</v>
      </c>
      <c r="G12" s="23"/>
      <c r="H12" s="22">
        <f>IF(AND(F12="", G12=""), "", SUM($F$12:F12)-SUM($G$12:G12))</f>
        <v>2500000</v>
      </c>
      <c r="I12" s="20" t="s">
        <v>41</v>
      </c>
    </row>
    <row r="13" ht="19.5" customHeight="1">
      <c r="A13" s="25"/>
      <c r="B13" s="25"/>
      <c r="C13" s="25"/>
      <c r="D13" s="26"/>
      <c r="E13" s="26"/>
      <c r="F13" s="27"/>
      <c r="G13" s="28"/>
      <c r="H13" s="29"/>
      <c r="I13" s="26"/>
    </row>
    <row r="14" ht="18.75" customHeight="1">
      <c r="A14" s="31"/>
      <c r="B14" s="31"/>
      <c r="C14" s="31"/>
      <c r="D14" s="31"/>
      <c r="E14" s="31"/>
      <c r="F14" s="31"/>
      <c r="G14" s="31"/>
      <c r="H14" s="23"/>
      <c r="I14" s="31"/>
    </row>
    <row r="15" ht="18.75" customHeight="1">
      <c r="A15" s="30"/>
      <c r="B15" s="30"/>
      <c r="C15" s="30"/>
      <c r="D15" s="30"/>
      <c r="E15" s="30"/>
      <c r="F15" s="30"/>
      <c r="G15" s="30"/>
      <c r="H15" s="27" t="str">
        <f t="shared" ref="H15:H21" si="1">IF(AND(F15="", G15=""), "", SUM($F$12:F15)-SUM($G$12:G15))</f>
        <v/>
      </c>
      <c r="I15" s="30"/>
    </row>
    <row r="16" ht="18.75" customHeight="1">
      <c r="A16" s="31"/>
      <c r="B16" s="31"/>
      <c r="C16" s="31"/>
      <c r="D16" s="31"/>
      <c r="E16" s="31"/>
      <c r="F16" s="31"/>
      <c r="G16" s="31"/>
      <c r="H16" s="23" t="str">
        <f t="shared" si="1"/>
        <v/>
      </c>
      <c r="I16" s="31"/>
    </row>
    <row r="17" ht="18.75" customHeight="1">
      <c r="A17" s="30"/>
      <c r="B17" s="30"/>
      <c r="C17" s="30"/>
      <c r="D17" s="30"/>
      <c r="E17" s="30"/>
      <c r="F17" s="30"/>
      <c r="G17" s="30"/>
      <c r="H17" s="27" t="str">
        <f t="shared" si="1"/>
        <v/>
      </c>
      <c r="I17" s="30"/>
    </row>
    <row r="18" ht="18.75" customHeight="1">
      <c r="A18" s="31"/>
      <c r="B18" s="31"/>
      <c r="C18" s="31"/>
      <c r="D18" s="31"/>
      <c r="E18" s="31"/>
      <c r="F18" s="31"/>
      <c r="G18" s="31"/>
      <c r="H18" s="23" t="str">
        <f t="shared" si="1"/>
        <v/>
      </c>
      <c r="I18" s="31"/>
    </row>
    <row r="19" ht="18.75" customHeight="1">
      <c r="A19" s="30"/>
      <c r="B19" s="30"/>
      <c r="C19" s="30"/>
      <c r="D19" s="30"/>
      <c r="E19" s="30"/>
      <c r="F19" s="30"/>
      <c r="G19" s="30"/>
      <c r="H19" s="27" t="str">
        <f t="shared" si="1"/>
        <v/>
      </c>
      <c r="I19" s="30"/>
    </row>
    <row r="20" ht="18.75" customHeight="1">
      <c r="A20" s="31"/>
      <c r="B20" s="31"/>
      <c r="C20" s="31"/>
      <c r="D20" s="31"/>
      <c r="E20" s="31"/>
      <c r="F20" s="31"/>
      <c r="G20" s="31"/>
      <c r="H20" s="23" t="str">
        <f t="shared" si="1"/>
        <v/>
      </c>
      <c r="I20" s="31"/>
    </row>
    <row r="21" ht="18.75" customHeight="1">
      <c r="A21" s="30"/>
      <c r="B21" s="30"/>
      <c r="C21" s="30"/>
      <c r="D21" s="30"/>
      <c r="E21" s="30"/>
      <c r="F21" s="30"/>
      <c r="G21" s="30"/>
      <c r="H21" s="27" t="str">
        <f t="shared" si="1"/>
        <v/>
      </c>
      <c r="I21" s="30"/>
    </row>
    <row r="22" ht="18.75" customHeight="1">
      <c r="A22" s="31"/>
      <c r="B22" s="31"/>
      <c r="C22" s="31"/>
      <c r="D22" s="31"/>
      <c r="E22" s="31"/>
      <c r="F22" s="31"/>
      <c r="G22" s="31"/>
      <c r="H22" s="23"/>
      <c r="I22" s="31"/>
    </row>
    <row r="23" ht="18.75" customHeight="1">
      <c r="A23" s="30"/>
      <c r="B23" s="30"/>
      <c r="C23" s="30"/>
      <c r="D23" s="30"/>
      <c r="E23" s="30"/>
      <c r="F23" s="30"/>
      <c r="G23" s="30"/>
      <c r="H23" s="27" t="str">
        <f t="shared" ref="H23:H29" si="2">IF(AND(F23="", G23=""), "", SUM($F$12:F23)-SUM($G$12:G23))</f>
        <v/>
      </c>
      <c r="I23" s="30"/>
    </row>
    <row r="24" ht="18.75" customHeight="1">
      <c r="A24" s="31"/>
      <c r="B24" s="31"/>
      <c r="C24" s="31"/>
      <c r="D24" s="31"/>
      <c r="E24" s="31"/>
      <c r="F24" s="31"/>
      <c r="G24" s="31"/>
      <c r="H24" s="23" t="str">
        <f t="shared" si="2"/>
        <v/>
      </c>
      <c r="I24" s="31"/>
    </row>
    <row r="25" ht="18.75" customHeight="1">
      <c r="A25" s="30"/>
      <c r="B25" s="30"/>
      <c r="C25" s="30"/>
      <c r="D25" s="30"/>
      <c r="E25" s="30"/>
      <c r="F25" s="30"/>
      <c r="G25" s="30"/>
      <c r="H25" s="27" t="str">
        <f t="shared" si="2"/>
        <v/>
      </c>
      <c r="I25" s="30"/>
    </row>
    <row r="26" ht="18.75" customHeight="1">
      <c r="A26" s="31"/>
      <c r="B26" s="31"/>
      <c r="C26" s="31"/>
      <c r="D26" s="31"/>
      <c r="E26" s="31"/>
      <c r="F26" s="31"/>
      <c r="G26" s="31"/>
      <c r="H26" s="23" t="str">
        <f t="shared" si="2"/>
        <v/>
      </c>
      <c r="I26" s="31"/>
    </row>
    <row r="27" ht="18.75" customHeight="1">
      <c r="A27" s="30"/>
      <c r="B27" s="30"/>
      <c r="C27" s="30"/>
      <c r="D27" s="30"/>
      <c r="E27" s="30"/>
      <c r="F27" s="30"/>
      <c r="G27" s="30"/>
      <c r="H27" s="27" t="str">
        <f t="shared" si="2"/>
        <v/>
      </c>
      <c r="I27" s="30"/>
    </row>
    <row r="28" ht="18.75" customHeight="1">
      <c r="A28" s="31"/>
      <c r="B28" s="31"/>
      <c r="C28" s="31"/>
      <c r="D28" s="31"/>
      <c r="E28" s="31"/>
      <c r="F28" s="31"/>
      <c r="G28" s="31"/>
      <c r="H28" s="23" t="str">
        <f t="shared" si="2"/>
        <v/>
      </c>
      <c r="I28" s="31"/>
    </row>
    <row r="29" ht="18.75" customHeight="1">
      <c r="A29" s="30"/>
      <c r="B29" s="30"/>
      <c r="C29" s="30"/>
      <c r="D29" s="30"/>
      <c r="E29" s="30"/>
      <c r="F29" s="30"/>
      <c r="G29" s="30"/>
      <c r="H29" s="27" t="str">
        <f t="shared" si="2"/>
        <v/>
      </c>
      <c r="I29" s="30"/>
    </row>
    <row r="30" ht="18.75" customHeight="1">
      <c r="A30" s="31"/>
      <c r="B30" s="31"/>
      <c r="C30" s="31"/>
      <c r="D30" s="31"/>
      <c r="E30" s="31"/>
      <c r="F30" s="31"/>
      <c r="G30" s="31"/>
      <c r="H30" s="23"/>
      <c r="I30" s="31"/>
    </row>
    <row r="31" ht="18.75" customHeight="1">
      <c r="A31" s="30"/>
      <c r="B31" s="30"/>
      <c r="C31" s="30"/>
      <c r="D31" s="30"/>
      <c r="E31" s="30"/>
      <c r="F31" s="30"/>
      <c r="G31" s="30"/>
      <c r="H31" s="27" t="str">
        <f t="shared" ref="H31:H37" si="3">IF(AND(F31="", G31=""), "", SUM($F$12:F31)-SUM($G$12:G31))</f>
        <v/>
      </c>
      <c r="I31" s="30"/>
    </row>
    <row r="32" ht="18.75" customHeight="1">
      <c r="A32" s="31"/>
      <c r="B32" s="31"/>
      <c r="C32" s="31"/>
      <c r="D32" s="31"/>
      <c r="E32" s="31"/>
      <c r="F32" s="31"/>
      <c r="G32" s="31"/>
      <c r="H32" s="23" t="str">
        <f t="shared" si="3"/>
        <v/>
      </c>
      <c r="I32" s="31"/>
    </row>
    <row r="33" ht="18.75" customHeight="1">
      <c r="A33" s="30"/>
      <c r="B33" s="30"/>
      <c r="C33" s="30"/>
      <c r="D33" s="30"/>
      <c r="E33" s="30"/>
      <c r="F33" s="30"/>
      <c r="G33" s="30"/>
      <c r="H33" s="27" t="str">
        <f t="shared" si="3"/>
        <v/>
      </c>
      <c r="I33" s="30"/>
    </row>
    <row r="34" ht="18.75" customHeight="1">
      <c r="A34" s="31"/>
      <c r="B34" s="31"/>
      <c r="C34" s="31"/>
      <c r="D34" s="31"/>
      <c r="E34" s="31"/>
      <c r="F34" s="31"/>
      <c r="G34" s="31"/>
      <c r="H34" s="23" t="str">
        <f t="shared" si="3"/>
        <v/>
      </c>
      <c r="I34" s="31"/>
    </row>
    <row r="35" ht="18.75" customHeight="1">
      <c r="A35" s="30"/>
      <c r="B35" s="30"/>
      <c r="C35" s="30"/>
      <c r="D35" s="30"/>
      <c r="E35" s="30"/>
      <c r="F35" s="30"/>
      <c r="G35" s="30"/>
      <c r="H35" s="27" t="str">
        <f t="shared" si="3"/>
        <v/>
      </c>
      <c r="I35" s="30"/>
    </row>
    <row r="36" ht="18.75" customHeight="1">
      <c r="A36" s="31"/>
      <c r="B36" s="31"/>
      <c r="C36" s="31"/>
      <c r="D36" s="31"/>
      <c r="E36" s="31"/>
      <c r="F36" s="31"/>
      <c r="G36" s="31"/>
      <c r="H36" s="23" t="str">
        <f t="shared" si="3"/>
        <v/>
      </c>
      <c r="I36" s="31"/>
    </row>
    <row r="37" ht="18.75" customHeight="1">
      <c r="A37" s="30"/>
      <c r="B37" s="30"/>
      <c r="C37" s="30"/>
      <c r="D37" s="30"/>
      <c r="E37" s="30"/>
      <c r="F37" s="30"/>
      <c r="G37" s="30"/>
      <c r="H37" s="27" t="str">
        <f t="shared" si="3"/>
        <v/>
      </c>
      <c r="I37" s="30"/>
    </row>
    <row r="38" ht="18.75" customHeight="1">
      <c r="A38" s="31"/>
      <c r="B38" s="31"/>
      <c r="C38" s="31"/>
      <c r="D38" s="31"/>
      <c r="E38" s="31"/>
      <c r="F38" s="31"/>
      <c r="G38" s="31"/>
      <c r="H38" s="23"/>
      <c r="I38" s="31"/>
    </row>
    <row r="39" ht="18.75" customHeight="1">
      <c r="A39" s="30"/>
      <c r="B39" s="30"/>
      <c r="C39" s="30"/>
      <c r="D39" s="30"/>
      <c r="E39" s="30"/>
      <c r="F39" s="30"/>
      <c r="G39" s="30"/>
      <c r="H39" s="27" t="str">
        <f t="shared" ref="H39:H45" si="4">IF(AND(F39="", G39=""), "", SUM($F$12:F39)-SUM($G$12:G39))</f>
        <v/>
      </c>
      <c r="I39" s="30"/>
    </row>
    <row r="40" ht="18.75" customHeight="1">
      <c r="A40" s="31"/>
      <c r="B40" s="31"/>
      <c r="C40" s="31"/>
      <c r="D40" s="31"/>
      <c r="E40" s="31"/>
      <c r="F40" s="31"/>
      <c r="G40" s="31"/>
      <c r="H40" s="23" t="str">
        <f t="shared" si="4"/>
        <v/>
      </c>
      <c r="I40" s="31"/>
    </row>
    <row r="41" ht="18.75" customHeight="1">
      <c r="A41" s="30"/>
      <c r="B41" s="30"/>
      <c r="C41" s="30"/>
      <c r="D41" s="30"/>
      <c r="E41" s="30"/>
      <c r="F41" s="30"/>
      <c r="G41" s="30"/>
      <c r="H41" s="27" t="str">
        <f t="shared" si="4"/>
        <v/>
      </c>
      <c r="I41" s="30"/>
    </row>
    <row r="42" ht="18.75" customHeight="1">
      <c r="A42" s="31"/>
      <c r="B42" s="31"/>
      <c r="C42" s="31"/>
      <c r="D42" s="31"/>
      <c r="E42" s="31"/>
      <c r="F42" s="31"/>
      <c r="G42" s="31"/>
      <c r="H42" s="23" t="str">
        <f t="shared" si="4"/>
        <v/>
      </c>
      <c r="I42" s="31"/>
    </row>
    <row r="43" ht="18.75" customHeight="1">
      <c r="A43" s="30"/>
      <c r="B43" s="30"/>
      <c r="C43" s="30"/>
      <c r="D43" s="30"/>
      <c r="E43" s="30"/>
      <c r="F43" s="30"/>
      <c r="G43" s="30"/>
      <c r="H43" s="27" t="str">
        <f t="shared" si="4"/>
        <v/>
      </c>
      <c r="I43" s="30"/>
    </row>
    <row r="44" ht="18.75" customHeight="1">
      <c r="A44" s="31"/>
      <c r="B44" s="31"/>
      <c r="C44" s="31"/>
      <c r="D44" s="31"/>
      <c r="E44" s="31"/>
      <c r="F44" s="31"/>
      <c r="G44" s="31"/>
      <c r="H44" s="23" t="str">
        <f t="shared" si="4"/>
        <v/>
      </c>
      <c r="I44" s="31"/>
    </row>
    <row r="45" ht="18.75" customHeight="1">
      <c r="A45" s="30"/>
      <c r="B45" s="30"/>
      <c r="C45" s="30"/>
      <c r="D45" s="30"/>
      <c r="E45" s="30"/>
      <c r="F45" s="30"/>
      <c r="G45" s="30"/>
      <c r="H45" s="27" t="str">
        <f t="shared" si="4"/>
        <v/>
      </c>
      <c r="I45" s="30"/>
    </row>
    <row r="46" ht="18.75" customHeight="1">
      <c r="A46" s="31"/>
      <c r="B46" s="31"/>
      <c r="C46" s="31"/>
      <c r="D46" s="31"/>
      <c r="E46" s="31"/>
      <c r="F46" s="31"/>
      <c r="G46" s="31"/>
      <c r="H46" s="23"/>
      <c r="I46" s="31"/>
    </row>
    <row r="47" ht="18.75" customHeight="1">
      <c r="A47" s="30"/>
      <c r="B47" s="30"/>
      <c r="C47" s="30"/>
      <c r="D47" s="30"/>
      <c r="E47" s="30"/>
      <c r="F47" s="30"/>
      <c r="G47" s="30"/>
      <c r="H47" s="27" t="str">
        <f t="shared" ref="H47:H53" si="5">IF(AND(F47="", G47=""), "", SUM($F$12:F47)-SUM($G$12:G47))</f>
        <v/>
      </c>
      <c r="I47" s="30"/>
    </row>
    <row r="48" ht="18.75" customHeight="1">
      <c r="A48" s="31"/>
      <c r="B48" s="31"/>
      <c r="C48" s="31"/>
      <c r="D48" s="31"/>
      <c r="E48" s="31"/>
      <c r="F48" s="31"/>
      <c r="G48" s="31"/>
      <c r="H48" s="23" t="str">
        <f t="shared" si="5"/>
        <v/>
      </c>
      <c r="I48" s="31"/>
    </row>
    <row r="49" ht="18.75" customHeight="1">
      <c r="A49" s="30"/>
      <c r="B49" s="30"/>
      <c r="C49" s="30"/>
      <c r="D49" s="30"/>
      <c r="E49" s="30"/>
      <c r="F49" s="30"/>
      <c r="G49" s="30"/>
      <c r="H49" s="27" t="str">
        <f t="shared" si="5"/>
        <v/>
      </c>
      <c r="I49" s="30"/>
    </row>
    <row r="50" ht="18.75" customHeight="1">
      <c r="A50" s="31"/>
      <c r="B50" s="31"/>
      <c r="C50" s="31"/>
      <c r="D50" s="31"/>
      <c r="E50" s="31"/>
      <c r="F50" s="31"/>
      <c r="G50" s="31"/>
      <c r="H50" s="23" t="str">
        <f t="shared" si="5"/>
        <v/>
      </c>
      <c r="I50" s="31"/>
    </row>
    <row r="51" ht="18.75" customHeight="1">
      <c r="A51" s="30"/>
      <c r="B51" s="30"/>
      <c r="C51" s="30"/>
      <c r="D51" s="30"/>
      <c r="E51" s="30"/>
      <c r="F51" s="30"/>
      <c r="G51" s="30"/>
      <c r="H51" s="27" t="str">
        <f t="shared" si="5"/>
        <v/>
      </c>
      <c r="I51" s="30"/>
    </row>
    <row r="52" ht="18.75" customHeight="1">
      <c r="A52" s="31"/>
      <c r="B52" s="31"/>
      <c r="C52" s="31"/>
      <c r="D52" s="31"/>
      <c r="E52" s="31"/>
      <c r="F52" s="31"/>
      <c r="G52" s="31"/>
      <c r="H52" s="23" t="str">
        <f t="shared" si="5"/>
        <v/>
      </c>
      <c r="I52" s="31"/>
    </row>
    <row r="53" ht="18.75" customHeight="1">
      <c r="A53" s="30"/>
      <c r="B53" s="30"/>
      <c r="C53" s="30"/>
      <c r="D53" s="30"/>
      <c r="E53" s="30"/>
      <c r="F53" s="30"/>
      <c r="G53" s="30"/>
      <c r="H53" s="27" t="str">
        <f t="shared" si="5"/>
        <v/>
      </c>
      <c r="I53" s="30"/>
    </row>
    <row r="54" ht="18.75" customHeight="1">
      <c r="A54" s="31"/>
      <c r="B54" s="31"/>
      <c r="C54" s="31"/>
      <c r="D54" s="31"/>
      <c r="E54" s="31"/>
      <c r="F54" s="31"/>
      <c r="G54" s="31"/>
      <c r="H54" s="23"/>
      <c r="I54" s="31"/>
    </row>
    <row r="55" ht="18.75" customHeight="1">
      <c r="A55" s="30"/>
      <c r="B55" s="30"/>
      <c r="C55" s="30"/>
      <c r="D55" s="30"/>
      <c r="E55" s="30"/>
      <c r="F55" s="30"/>
      <c r="G55" s="30"/>
      <c r="H55" s="27" t="str">
        <f t="shared" ref="H55:H61" si="6">IF(AND(F55="", G55=""), "", SUM($F$12:F55)-SUM($G$12:G55))</f>
        <v/>
      </c>
      <c r="I55" s="30"/>
    </row>
    <row r="56" ht="18.75" customHeight="1">
      <c r="A56" s="31"/>
      <c r="B56" s="31"/>
      <c r="C56" s="31"/>
      <c r="D56" s="31"/>
      <c r="E56" s="31"/>
      <c r="F56" s="31"/>
      <c r="G56" s="31"/>
      <c r="H56" s="23" t="str">
        <f t="shared" si="6"/>
        <v/>
      </c>
      <c r="I56" s="31"/>
    </row>
    <row r="57" ht="18.75" customHeight="1">
      <c r="A57" s="30"/>
      <c r="B57" s="30"/>
      <c r="C57" s="30"/>
      <c r="D57" s="30"/>
      <c r="E57" s="30"/>
      <c r="F57" s="30"/>
      <c r="G57" s="30"/>
      <c r="H57" s="27" t="str">
        <f t="shared" si="6"/>
        <v/>
      </c>
      <c r="I57" s="30"/>
    </row>
    <row r="58" ht="18.75" customHeight="1">
      <c r="A58" s="31"/>
      <c r="B58" s="31"/>
      <c r="C58" s="31"/>
      <c r="D58" s="31"/>
      <c r="E58" s="31"/>
      <c r="F58" s="31"/>
      <c r="G58" s="31"/>
      <c r="H58" s="23" t="str">
        <f t="shared" si="6"/>
        <v/>
      </c>
      <c r="I58" s="31"/>
    </row>
    <row r="59" ht="18.75" customHeight="1">
      <c r="A59" s="30"/>
      <c r="B59" s="30"/>
      <c r="C59" s="30"/>
      <c r="D59" s="30"/>
      <c r="E59" s="30"/>
      <c r="F59" s="30"/>
      <c r="G59" s="30"/>
      <c r="H59" s="27" t="str">
        <f t="shared" si="6"/>
        <v/>
      </c>
      <c r="I59" s="30"/>
    </row>
    <row r="60" ht="18.75" customHeight="1">
      <c r="A60" s="31"/>
      <c r="B60" s="31"/>
      <c r="C60" s="31"/>
      <c r="D60" s="31"/>
      <c r="E60" s="31"/>
      <c r="F60" s="31"/>
      <c r="G60" s="31"/>
      <c r="H60" s="23" t="str">
        <f t="shared" si="6"/>
        <v/>
      </c>
      <c r="I60" s="31"/>
    </row>
    <row r="61" ht="18.75" customHeight="1">
      <c r="A61" s="30"/>
      <c r="B61" s="30"/>
      <c r="C61" s="30"/>
      <c r="D61" s="30"/>
      <c r="E61" s="30"/>
      <c r="F61" s="30"/>
      <c r="G61" s="30"/>
      <c r="H61" s="27" t="str">
        <f t="shared" si="6"/>
        <v/>
      </c>
      <c r="I61" s="30"/>
    </row>
    <row r="62" ht="18.75" customHeight="1">
      <c r="A62" s="31"/>
      <c r="B62" s="31"/>
      <c r="C62" s="31"/>
      <c r="D62" s="31"/>
      <c r="E62" s="31"/>
      <c r="F62" s="31"/>
      <c r="G62" s="31"/>
      <c r="H62" s="23"/>
      <c r="I62" s="31"/>
    </row>
    <row r="63" ht="18.75" customHeight="1">
      <c r="A63" s="30"/>
      <c r="B63" s="30"/>
      <c r="C63" s="30"/>
      <c r="D63" s="30"/>
      <c r="E63" s="30"/>
      <c r="F63" s="30"/>
      <c r="G63" s="30"/>
      <c r="H63" s="27" t="str">
        <f t="shared" ref="H63:H69" si="7">IF(AND(F63="", G63=""), "", SUM($F$12:F63)-SUM($G$12:G63))</f>
        <v/>
      </c>
      <c r="I63" s="30"/>
    </row>
    <row r="64" ht="18.75" customHeight="1">
      <c r="A64" s="31"/>
      <c r="B64" s="31"/>
      <c r="C64" s="31"/>
      <c r="D64" s="31"/>
      <c r="E64" s="31"/>
      <c r="F64" s="31"/>
      <c r="G64" s="31"/>
      <c r="H64" s="23" t="str">
        <f t="shared" si="7"/>
        <v/>
      </c>
      <c r="I64" s="31"/>
    </row>
    <row r="65" ht="18.75" customHeight="1">
      <c r="A65" s="30"/>
      <c r="B65" s="30"/>
      <c r="C65" s="30"/>
      <c r="D65" s="30"/>
      <c r="E65" s="30"/>
      <c r="F65" s="30"/>
      <c r="G65" s="30"/>
      <c r="H65" s="27" t="str">
        <f t="shared" si="7"/>
        <v/>
      </c>
      <c r="I65" s="30"/>
    </row>
    <row r="66" ht="18.75" customHeight="1">
      <c r="A66" s="31"/>
      <c r="B66" s="31"/>
      <c r="C66" s="31"/>
      <c r="D66" s="31"/>
      <c r="E66" s="31"/>
      <c r="F66" s="31"/>
      <c r="G66" s="31"/>
      <c r="H66" s="23" t="str">
        <f t="shared" si="7"/>
        <v/>
      </c>
      <c r="I66" s="31"/>
    </row>
    <row r="67" ht="18.75" customHeight="1">
      <c r="A67" s="30"/>
      <c r="B67" s="30"/>
      <c r="C67" s="30"/>
      <c r="D67" s="30"/>
      <c r="E67" s="30"/>
      <c r="F67" s="30"/>
      <c r="G67" s="30"/>
      <c r="H67" s="27" t="str">
        <f t="shared" si="7"/>
        <v/>
      </c>
      <c r="I67" s="30"/>
    </row>
    <row r="68" ht="18.75" customHeight="1">
      <c r="A68" s="31"/>
      <c r="B68" s="31"/>
      <c r="C68" s="31"/>
      <c r="D68" s="31"/>
      <c r="E68" s="31"/>
      <c r="F68" s="31"/>
      <c r="G68" s="31"/>
      <c r="H68" s="23" t="str">
        <f t="shared" si="7"/>
        <v/>
      </c>
      <c r="I68" s="31"/>
    </row>
    <row r="69" ht="18.75" customHeight="1">
      <c r="A69" s="30"/>
      <c r="B69" s="30"/>
      <c r="C69" s="30"/>
      <c r="D69" s="30"/>
      <c r="E69" s="30"/>
      <c r="F69" s="30"/>
      <c r="G69" s="30"/>
      <c r="H69" s="27" t="str">
        <f t="shared" si="7"/>
        <v/>
      </c>
      <c r="I69" s="30"/>
    </row>
    <row r="70" ht="18.75" customHeight="1">
      <c r="A70" s="31"/>
      <c r="B70" s="31"/>
      <c r="C70" s="31"/>
      <c r="D70" s="31"/>
      <c r="E70" s="31"/>
      <c r="F70" s="31"/>
      <c r="G70" s="31"/>
      <c r="H70" s="23"/>
      <c r="I70" s="31"/>
    </row>
    <row r="71" ht="18.75" customHeight="1">
      <c r="A71" s="30"/>
      <c r="B71" s="30"/>
      <c r="C71" s="30"/>
      <c r="D71" s="30"/>
      <c r="E71" s="30"/>
      <c r="F71" s="30"/>
      <c r="G71" s="30"/>
      <c r="H71" s="27" t="str">
        <f t="shared" ref="H71:H77" si="8">IF(AND(F71="", G71=""), "", SUM($F$12:F71)-SUM($G$12:G71))</f>
        <v/>
      </c>
      <c r="I71" s="30"/>
    </row>
    <row r="72" ht="18.75" customHeight="1">
      <c r="A72" s="31"/>
      <c r="B72" s="31"/>
      <c r="C72" s="31"/>
      <c r="D72" s="31"/>
      <c r="E72" s="31"/>
      <c r="F72" s="31"/>
      <c r="G72" s="31"/>
      <c r="H72" s="23" t="str">
        <f t="shared" si="8"/>
        <v/>
      </c>
      <c r="I72" s="31"/>
    </row>
    <row r="73" ht="18.75" customHeight="1">
      <c r="A73" s="30"/>
      <c r="B73" s="30"/>
      <c r="C73" s="30"/>
      <c r="D73" s="30"/>
      <c r="E73" s="30"/>
      <c r="F73" s="30"/>
      <c r="G73" s="30"/>
      <c r="H73" s="27" t="str">
        <f t="shared" si="8"/>
        <v/>
      </c>
      <c r="I73" s="30"/>
    </row>
    <row r="74" ht="18.75" customHeight="1">
      <c r="A74" s="31"/>
      <c r="B74" s="31"/>
      <c r="C74" s="31"/>
      <c r="D74" s="31"/>
      <c r="E74" s="31"/>
      <c r="F74" s="31"/>
      <c r="G74" s="31"/>
      <c r="H74" s="23" t="str">
        <f t="shared" si="8"/>
        <v/>
      </c>
      <c r="I74" s="31"/>
    </row>
    <row r="75" ht="18.75" customHeight="1">
      <c r="A75" s="30"/>
      <c r="B75" s="30"/>
      <c r="C75" s="30"/>
      <c r="D75" s="30"/>
      <c r="E75" s="30"/>
      <c r="F75" s="30"/>
      <c r="G75" s="30"/>
      <c r="H75" s="27" t="str">
        <f t="shared" si="8"/>
        <v/>
      </c>
      <c r="I75" s="30"/>
    </row>
    <row r="76" ht="18.75" customHeight="1">
      <c r="A76" s="31"/>
      <c r="B76" s="31"/>
      <c r="C76" s="31"/>
      <c r="D76" s="31"/>
      <c r="E76" s="31"/>
      <c r="F76" s="31"/>
      <c r="G76" s="31"/>
      <c r="H76" s="23" t="str">
        <f t="shared" si="8"/>
        <v/>
      </c>
      <c r="I76" s="31"/>
    </row>
    <row r="77" ht="18.75" customHeight="1">
      <c r="A77" s="30"/>
      <c r="B77" s="30"/>
      <c r="C77" s="30"/>
      <c r="D77" s="30"/>
      <c r="E77" s="30"/>
      <c r="F77" s="30"/>
      <c r="G77" s="30"/>
      <c r="H77" s="27" t="str">
        <f t="shared" si="8"/>
        <v/>
      </c>
      <c r="I77" s="30"/>
    </row>
    <row r="78" ht="18.75" customHeight="1">
      <c r="A78" s="31"/>
      <c r="B78" s="31"/>
      <c r="C78" s="31"/>
      <c r="D78" s="31"/>
      <c r="E78" s="31"/>
      <c r="F78" s="31"/>
      <c r="G78" s="31"/>
      <c r="H78" s="23"/>
      <c r="I78" s="31"/>
    </row>
    <row r="79" ht="18.75" customHeight="1">
      <c r="A79" s="30"/>
      <c r="B79" s="30"/>
      <c r="C79" s="30"/>
      <c r="D79" s="30"/>
      <c r="E79" s="30"/>
      <c r="F79" s="30"/>
      <c r="G79" s="30"/>
      <c r="H79" s="27" t="str">
        <f t="shared" ref="H79:H85" si="9">IF(AND(F79="", G79=""), "", SUM($F$12:F79)-SUM($G$12:G79))</f>
        <v/>
      </c>
      <c r="I79" s="30"/>
    </row>
    <row r="80" ht="18.75" customHeight="1">
      <c r="A80" s="31"/>
      <c r="B80" s="31"/>
      <c r="C80" s="31"/>
      <c r="D80" s="31"/>
      <c r="E80" s="31"/>
      <c r="F80" s="31"/>
      <c r="G80" s="31"/>
      <c r="H80" s="23" t="str">
        <f t="shared" si="9"/>
        <v/>
      </c>
      <c r="I80" s="31"/>
    </row>
    <row r="81" ht="18.75" customHeight="1">
      <c r="A81" s="30"/>
      <c r="B81" s="30"/>
      <c r="C81" s="30"/>
      <c r="D81" s="30"/>
      <c r="E81" s="30"/>
      <c r="F81" s="30"/>
      <c r="G81" s="30"/>
      <c r="H81" s="27" t="str">
        <f t="shared" si="9"/>
        <v/>
      </c>
      <c r="I81" s="30"/>
    </row>
    <row r="82" ht="18.75" customHeight="1">
      <c r="A82" s="31"/>
      <c r="B82" s="31"/>
      <c r="C82" s="31"/>
      <c r="D82" s="31"/>
      <c r="E82" s="31"/>
      <c r="F82" s="31"/>
      <c r="G82" s="31"/>
      <c r="H82" s="23" t="str">
        <f t="shared" si="9"/>
        <v/>
      </c>
      <c r="I82" s="31"/>
    </row>
    <row r="83" ht="18.75" customHeight="1">
      <c r="A83" s="30"/>
      <c r="B83" s="30"/>
      <c r="C83" s="30"/>
      <c r="D83" s="30"/>
      <c r="E83" s="30"/>
      <c r="F83" s="30"/>
      <c r="G83" s="30"/>
      <c r="H83" s="27" t="str">
        <f t="shared" si="9"/>
        <v/>
      </c>
      <c r="I83" s="30"/>
    </row>
    <row r="84" ht="18.75" customHeight="1">
      <c r="A84" s="31"/>
      <c r="B84" s="31"/>
      <c r="C84" s="31"/>
      <c r="D84" s="31"/>
      <c r="E84" s="31"/>
      <c r="F84" s="31"/>
      <c r="G84" s="31"/>
      <c r="H84" s="23" t="str">
        <f t="shared" si="9"/>
        <v/>
      </c>
      <c r="I84" s="31"/>
    </row>
    <row r="85" ht="18.75" customHeight="1">
      <c r="A85" s="30"/>
      <c r="B85" s="30"/>
      <c r="C85" s="30"/>
      <c r="D85" s="30"/>
      <c r="E85" s="30"/>
      <c r="F85" s="30"/>
      <c r="G85" s="30"/>
      <c r="H85" s="27" t="str">
        <f t="shared" si="9"/>
        <v/>
      </c>
      <c r="I85" s="30"/>
    </row>
    <row r="86" ht="18.75" customHeight="1">
      <c r="A86" s="31"/>
      <c r="B86" s="31"/>
      <c r="C86" s="31"/>
      <c r="D86" s="31"/>
      <c r="E86" s="31"/>
      <c r="F86" s="31"/>
      <c r="G86" s="31"/>
      <c r="H86" s="23"/>
      <c r="I86" s="31"/>
    </row>
    <row r="87" ht="18.75" customHeight="1">
      <c r="A87" s="30"/>
      <c r="B87" s="30"/>
      <c r="C87" s="30"/>
      <c r="D87" s="30"/>
      <c r="E87" s="30"/>
      <c r="F87" s="30"/>
      <c r="G87" s="30"/>
      <c r="H87" s="27" t="str">
        <f t="shared" ref="H87:H93" si="10">IF(AND(F87="", G87=""), "", SUM($F$12:F87)-SUM($G$12:G87))</f>
        <v/>
      </c>
      <c r="I87" s="30"/>
    </row>
    <row r="88" ht="18.75" customHeight="1">
      <c r="A88" s="31"/>
      <c r="B88" s="31"/>
      <c r="C88" s="31"/>
      <c r="D88" s="31"/>
      <c r="E88" s="31"/>
      <c r="F88" s="31"/>
      <c r="G88" s="31"/>
      <c r="H88" s="23" t="str">
        <f t="shared" si="10"/>
        <v/>
      </c>
      <c r="I88" s="31"/>
    </row>
    <row r="89" ht="18.75" customHeight="1">
      <c r="A89" s="30"/>
      <c r="B89" s="30"/>
      <c r="C89" s="30"/>
      <c r="D89" s="30"/>
      <c r="E89" s="30"/>
      <c r="F89" s="30"/>
      <c r="G89" s="30"/>
      <c r="H89" s="27" t="str">
        <f t="shared" si="10"/>
        <v/>
      </c>
      <c r="I89" s="30"/>
    </row>
    <row r="90" ht="18.75" customHeight="1">
      <c r="A90" s="31"/>
      <c r="B90" s="31"/>
      <c r="C90" s="31"/>
      <c r="D90" s="31"/>
      <c r="E90" s="31"/>
      <c r="F90" s="31"/>
      <c r="G90" s="31"/>
      <c r="H90" s="23" t="str">
        <f t="shared" si="10"/>
        <v/>
      </c>
      <c r="I90" s="31"/>
    </row>
    <row r="91" ht="18.75" customHeight="1">
      <c r="A91" s="30"/>
      <c r="B91" s="30"/>
      <c r="C91" s="30"/>
      <c r="D91" s="30"/>
      <c r="E91" s="30"/>
      <c r="F91" s="30"/>
      <c r="G91" s="30"/>
      <c r="H91" s="27" t="str">
        <f t="shared" si="10"/>
        <v/>
      </c>
      <c r="I91" s="30"/>
    </row>
    <row r="92" ht="18.75" customHeight="1">
      <c r="A92" s="31"/>
      <c r="B92" s="31"/>
      <c r="C92" s="31"/>
      <c r="D92" s="31"/>
      <c r="E92" s="31"/>
      <c r="F92" s="31"/>
      <c r="G92" s="31"/>
      <c r="H92" s="23" t="str">
        <f t="shared" si="10"/>
        <v/>
      </c>
      <c r="I92" s="31"/>
    </row>
    <row r="93" ht="18.75" customHeight="1">
      <c r="A93" s="30"/>
      <c r="B93" s="30"/>
      <c r="C93" s="30"/>
      <c r="D93" s="30"/>
      <c r="E93" s="30"/>
      <c r="F93" s="30"/>
      <c r="G93" s="30"/>
      <c r="H93" s="27" t="str">
        <f t="shared" si="10"/>
        <v/>
      </c>
      <c r="I93" s="30"/>
    </row>
    <row r="94" ht="18.75" customHeight="1">
      <c r="A94" s="31"/>
      <c r="B94" s="31"/>
      <c r="C94" s="31"/>
      <c r="D94" s="31"/>
      <c r="E94" s="31"/>
      <c r="F94" s="31"/>
      <c r="G94" s="31"/>
      <c r="H94" s="23"/>
      <c r="I94" s="31"/>
    </row>
    <row r="95" ht="18.75" customHeight="1">
      <c r="A95" s="30"/>
      <c r="B95" s="30"/>
      <c r="C95" s="30"/>
      <c r="D95" s="30"/>
      <c r="E95" s="30"/>
      <c r="F95" s="30"/>
      <c r="G95" s="30"/>
      <c r="H95" s="27" t="str">
        <f t="shared" ref="H95:H101" si="11">IF(AND(F95="", G95=""), "", SUM($F$12:F95)-SUM($G$12:G95))</f>
        <v/>
      </c>
      <c r="I95" s="30"/>
    </row>
    <row r="96" ht="18.75" customHeight="1">
      <c r="A96" s="31"/>
      <c r="B96" s="31"/>
      <c r="C96" s="31"/>
      <c r="D96" s="31"/>
      <c r="E96" s="31"/>
      <c r="F96" s="31"/>
      <c r="G96" s="31"/>
      <c r="H96" s="23" t="str">
        <f t="shared" si="11"/>
        <v/>
      </c>
      <c r="I96" s="31"/>
    </row>
    <row r="97" ht="18.75" customHeight="1">
      <c r="A97" s="30"/>
      <c r="B97" s="30"/>
      <c r="C97" s="30"/>
      <c r="D97" s="30"/>
      <c r="E97" s="30"/>
      <c r="F97" s="30"/>
      <c r="G97" s="30"/>
      <c r="H97" s="27" t="str">
        <f t="shared" si="11"/>
        <v/>
      </c>
      <c r="I97" s="30"/>
    </row>
    <row r="98" ht="18.75" customHeight="1">
      <c r="A98" s="31"/>
      <c r="B98" s="31"/>
      <c r="C98" s="31"/>
      <c r="D98" s="31"/>
      <c r="E98" s="31"/>
      <c r="F98" s="31"/>
      <c r="G98" s="31"/>
      <c r="H98" s="23" t="str">
        <f t="shared" si="11"/>
        <v/>
      </c>
      <c r="I98" s="31"/>
    </row>
    <row r="99" ht="18.75" customHeight="1">
      <c r="A99" s="30"/>
      <c r="B99" s="30"/>
      <c r="C99" s="30"/>
      <c r="D99" s="30"/>
      <c r="E99" s="30"/>
      <c r="F99" s="30"/>
      <c r="G99" s="30"/>
      <c r="H99" s="27" t="str">
        <f t="shared" si="11"/>
        <v/>
      </c>
      <c r="I99" s="30"/>
    </row>
    <row r="100" ht="18.75" customHeight="1">
      <c r="A100" s="31"/>
      <c r="B100" s="31"/>
      <c r="C100" s="31"/>
      <c r="D100" s="31"/>
      <c r="E100" s="31"/>
      <c r="F100" s="31"/>
      <c r="G100" s="31"/>
      <c r="H100" s="23" t="str">
        <f t="shared" si="11"/>
        <v/>
      </c>
      <c r="I100" s="31"/>
    </row>
    <row r="101" ht="18.75" customHeight="1">
      <c r="A101" s="30"/>
      <c r="B101" s="30"/>
      <c r="C101" s="30"/>
      <c r="D101" s="30"/>
      <c r="E101" s="30"/>
      <c r="F101" s="30"/>
      <c r="G101" s="30"/>
      <c r="H101" s="27" t="str">
        <f t="shared" si="11"/>
        <v/>
      </c>
      <c r="I101" s="30"/>
    </row>
    <row r="102" ht="18.75" customHeight="1">
      <c r="A102" s="31"/>
      <c r="B102" s="31"/>
      <c r="C102" s="31"/>
      <c r="D102" s="31"/>
      <c r="E102" s="31"/>
      <c r="F102" s="31"/>
      <c r="G102" s="31"/>
      <c r="H102" s="23"/>
      <c r="I102" s="31"/>
    </row>
    <row r="103" ht="18.75" customHeight="1">
      <c r="A103" s="30"/>
      <c r="B103" s="30"/>
      <c r="C103" s="30"/>
      <c r="D103" s="30"/>
      <c r="E103" s="30"/>
      <c r="F103" s="30"/>
      <c r="G103" s="30"/>
      <c r="H103" s="27" t="str">
        <f t="shared" ref="H103:H109" si="12">IF(AND(F103="", G103=""), "", SUM($F$12:F103)-SUM($G$12:G103))</f>
        <v/>
      </c>
      <c r="I103" s="30"/>
    </row>
    <row r="104" ht="18.75" customHeight="1">
      <c r="A104" s="31"/>
      <c r="B104" s="31"/>
      <c r="C104" s="31"/>
      <c r="D104" s="31"/>
      <c r="E104" s="31"/>
      <c r="F104" s="31"/>
      <c r="G104" s="31"/>
      <c r="H104" s="23" t="str">
        <f t="shared" si="12"/>
        <v/>
      </c>
      <c r="I104" s="31"/>
    </row>
    <row r="105" ht="18.75" customHeight="1">
      <c r="A105" s="30"/>
      <c r="B105" s="30"/>
      <c r="C105" s="30"/>
      <c r="D105" s="30"/>
      <c r="E105" s="30"/>
      <c r="F105" s="30"/>
      <c r="G105" s="30"/>
      <c r="H105" s="27" t="str">
        <f t="shared" si="12"/>
        <v/>
      </c>
      <c r="I105" s="30"/>
    </row>
    <row r="106" ht="18.75" customHeight="1">
      <c r="A106" s="31"/>
      <c r="B106" s="31"/>
      <c r="C106" s="31"/>
      <c r="D106" s="31"/>
      <c r="E106" s="31"/>
      <c r="F106" s="31"/>
      <c r="G106" s="31"/>
      <c r="H106" s="23" t="str">
        <f t="shared" si="12"/>
        <v/>
      </c>
      <c r="I106" s="31"/>
    </row>
    <row r="107" ht="18.75" customHeight="1">
      <c r="A107" s="30"/>
      <c r="B107" s="30"/>
      <c r="C107" s="30"/>
      <c r="D107" s="30"/>
      <c r="E107" s="30"/>
      <c r="F107" s="30"/>
      <c r="G107" s="30"/>
      <c r="H107" s="27" t="str">
        <f t="shared" si="12"/>
        <v/>
      </c>
      <c r="I107" s="30"/>
    </row>
    <row r="108" ht="18.75" customHeight="1">
      <c r="A108" s="31"/>
      <c r="B108" s="31"/>
      <c r="C108" s="31"/>
      <c r="D108" s="31"/>
      <c r="E108" s="31"/>
      <c r="F108" s="31"/>
      <c r="G108" s="31"/>
      <c r="H108" s="23" t="str">
        <f t="shared" si="12"/>
        <v/>
      </c>
      <c r="I108" s="31"/>
    </row>
    <row r="109" ht="18.75" customHeight="1">
      <c r="A109" s="30"/>
      <c r="B109" s="30"/>
      <c r="C109" s="30"/>
      <c r="D109" s="30"/>
      <c r="E109" s="30"/>
      <c r="F109" s="30"/>
      <c r="G109" s="30"/>
      <c r="H109" s="27" t="str">
        <f t="shared" si="12"/>
        <v/>
      </c>
      <c r="I109" s="30"/>
    </row>
    <row r="110" ht="18.75" customHeight="1">
      <c r="A110" s="31"/>
      <c r="B110" s="31"/>
      <c r="C110" s="31"/>
      <c r="D110" s="31"/>
      <c r="E110" s="31"/>
      <c r="F110" s="31"/>
      <c r="G110" s="31"/>
      <c r="H110" s="23"/>
      <c r="I110" s="31"/>
    </row>
    <row r="111" ht="18.75" customHeight="1">
      <c r="A111" s="30"/>
      <c r="B111" s="30"/>
      <c r="C111" s="30"/>
      <c r="D111" s="30"/>
      <c r="E111" s="30"/>
      <c r="F111" s="30"/>
      <c r="G111" s="30"/>
      <c r="H111" s="27" t="str">
        <f t="shared" ref="H111:H117" si="13">IF(AND(F111="", G111=""), "", SUM($F$12:F111)-SUM($G$12:G111))</f>
        <v/>
      </c>
      <c r="I111" s="30"/>
    </row>
    <row r="112" ht="18.75" customHeight="1">
      <c r="A112" s="31"/>
      <c r="B112" s="31"/>
      <c r="C112" s="31"/>
      <c r="D112" s="31"/>
      <c r="E112" s="31"/>
      <c r="F112" s="31"/>
      <c r="G112" s="31"/>
      <c r="H112" s="23" t="str">
        <f t="shared" si="13"/>
        <v/>
      </c>
      <c r="I112" s="31"/>
    </row>
    <row r="113" ht="18.75" customHeight="1">
      <c r="A113" s="30"/>
      <c r="B113" s="30"/>
      <c r="C113" s="30"/>
      <c r="D113" s="30"/>
      <c r="E113" s="30"/>
      <c r="F113" s="30"/>
      <c r="G113" s="30"/>
      <c r="H113" s="27" t="str">
        <f t="shared" si="13"/>
        <v/>
      </c>
      <c r="I113" s="30"/>
    </row>
    <row r="114" ht="18.75" customHeight="1">
      <c r="A114" s="31"/>
      <c r="B114" s="31"/>
      <c r="C114" s="31"/>
      <c r="D114" s="31"/>
      <c r="E114" s="31"/>
      <c r="F114" s="31"/>
      <c r="G114" s="31"/>
      <c r="H114" s="23" t="str">
        <f t="shared" si="13"/>
        <v/>
      </c>
      <c r="I114" s="31"/>
    </row>
    <row r="115" ht="18.75" customHeight="1">
      <c r="A115" s="30"/>
      <c r="B115" s="30"/>
      <c r="C115" s="30"/>
      <c r="D115" s="30"/>
      <c r="E115" s="30"/>
      <c r="F115" s="30"/>
      <c r="G115" s="30"/>
      <c r="H115" s="27" t="str">
        <f t="shared" si="13"/>
        <v/>
      </c>
      <c r="I115" s="30"/>
    </row>
    <row r="116" ht="18.75" customHeight="1">
      <c r="A116" s="31"/>
      <c r="B116" s="31"/>
      <c r="C116" s="31"/>
      <c r="D116" s="31"/>
      <c r="E116" s="31"/>
      <c r="F116" s="31"/>
      <c r="G116" s="31"/>
      <c r="H116" s="23" t="str">
        <f t="shared" si="13"/>
        <v/>
      </c>
      <c r="I116" s="31"/>
    </row>
    <row r="117" ht="18.75" customHeight="1">
      <c r="A117" s="30"/>
      <c r="B117" s="30"/>
      <c r="C117" s="30"/>
      <c r="D117" s="30"/>
      <c r="E117" s="30"/>
      <c r="F117" s="30"/>
      <c r="G117" s="30"/>
      <c r="H117" s="27" t="str">
        <f t="shared" si="13"/>
        <v/>
      </c>
      <c r="I117" s="30"/>
    </row>
    <row r="118" ht="18.75" customHeight="1">
      <c r="A118" s="31"/>
      <c r="B118" s="31"/>
      <c r="C118" s="31"/>
      <c r="D118" s="31"/>
      <c r="E118" s="31"/>
      <c r="F118" s="31"/>
      <c r="G118" s="31"/>
      <c r="H118" s="23"/>
      <c r="I118" s="31"/>
    </row>
    <row r="119" ht="18.75" customHeight="1">
      <c r="A119" s="30"/>
      <c r="B119" s="30"/>
      <c r="C119" s="30"/>
      <c r="D119" s="30"/>
      <c r="E119" s="30"/>
      <c r="F119" s="30"/>
      <c r="G119" s="30"/>
      <c r="H119" s="27" t="str">
        <f t="shared" ref="H119:H125" si="14">IF(AND(F119="", G119=""), "", SUM($F$12:F119)-SUM($G$12:G119))</f>
        <v/>
      </c>
      <c r="I119" s="30"/>
    </row>
    <row r="120" ht="18.75" customHeight="1">
      <c r="A120" s="31"/>
      <c r="B120" s="31"/>
      <c r="C120" s="31"/>
      <c r="D120" s="31"/>
      <c r="E120" s="31"/>
      <c r="F120" s="31"/>
      <c r="G120" s="31"/>
      <c r="H120" s="23" t="str">
        <f t="shared" si="14"/>
        <v/>
      </c>
      <c r="I120" s="31"/>
    </row>
    <row r="121" ht="18.75" customHeight="1">
      <c r="A121" s="30"/>
      <c r="B121" s="30"/>
      <c r="C121" s="30"/>
      <c r="D121" s="30"/>
      <c r="E121" s="30"/>
      <c r="F121" s="30"/>
      <c r="G121" s="30"/>
      <c r="H121" s="27" t="str">
        <f t="shared" si="14"/>
        <v/>
      </c>
      <c r="I121" s="30"/>
    </row>
    <row r="122" ht="18.75" customHeight="1">
      <c r="A122" s="31"/>
      <c r="B122" s="31"/>
      <c r="C122" s="31"/>
      <c r="D122" s="31"/>
      <c r="E122" s="31"/>
      <c r="F122" s="31"/>
      <c r="G122" s="31"/>
      <c r="H122" s="23" t="str">
        <f t="shared" si="14"/>
        <v/>
      </c>
      <c r="I122" s="31"/>
    </row>
    <row r="123" ht="18.75" customHeight="1">
      <c r="A123" s="30"/>
      <c r="B123" s="30"/>
      <c r="C123" s="30"/>
      <c r="D123" s="30"/>
      <c r="E123" s="30"/>
      <c r="F123" s="30"/>
      <c r="G123" s="30"/>
      <c r="H123" s="27" t="str">
        <f t="shared" si="14"/>
        <v/>
      </c>
      <c r="I123" s="30"/>
    </row>
    <row r="124" ht="18.75" customHeight="1">
      <c r="A124" s="31"/>
      <c r="B124" s="31"/>
      <c r="C124" s="31"/>
      <c r="D124" s="31"/>
      <c r="E124" s="31"/>
      <c r="F124" s="31"/>
      <c r="G124" s="31"/>
      <c r="H124" s="23" t="str">
        <f t="shared" si="14"/>
        <v/>
      </c>
      <c r="I124" s="31"/>
    </row>
    <row r="125" ht="18.75" customHeight="1">
      <c r="A125" s="30"/>
      <c r="B125" s="30"/>
      <c r="C125" s="30"/>
      <c r="D125" s="30"/>
      <c r="E125" s="30"/>
      <c r="F125" s="30"/>
      <c r="G125" s="30"/>
      <c r="H125" s="27" t="str">
        <f t="shared" si="14"/>
        <v/>
      </c>
      <c r="I125" s="30"/>
    </row>
    <row r="126" ht="18.75" customHeight="1">
      <c r="A126" s="31"/>
      <c r="B126" s="31"/>
      <c r="C126" s="31"/>
      <c r="D126" s="31"/>
      <c r="E126" s="31"/>
      <c r="F126" s="31"/>
      <c r="G126" s="31"/>
      <c r="H126" s="23"/>
      <c r="I126" s="31"/>
    </row>
    <row r="127" ht="18.75" customHeight="1">
      <c r="A127" s="30"/>
      <c r="B127" s="30"/>
      <c r="C127" s="30"/>
      <c r="D127" s="30"/>
      <c r="E127" s="30"/>
      <c r="F127" s="30"/>
      <c r="G127" s="30"/>
      <c r="H127" s="27" t="str">
        <f t="shared" ref="H127:H133" si="15">IF(AND(F127="", G127=""), "", SUM($F$12:F127)-SUM($G$12:G127))</f>
        <v/>
      </c>
      <c r="I127" s="30"/>
    </row>
    <row r="128" ht="18.75" customHeight="1">
      <c r="A128" s="31"/>
      <c r="B128" s="31"/>
      <c r="C128" s="31"/>
      <c r="D128" s="31"/>
      <c r="E128" s="31"/>
      <c r="F128" s="31"/>
      <c r="G128" s="31"/>
      <c r="H128" s="23" t="str">
        <f t="shared" si="15"/>
        <v/>
      </c>
      <c r="I128" s="31"/>
    </row>
    <row r="129" ht="18.75" customHeight="1">
      <c r="A129" s="30"/>
      <c r="B129" s="30"/>
      <c r="C129" s="30"/>
      <c r="D129" s="30"/>
      <c r="E129" s="30"/>
      <c r="F129" s="30"/>
      <c r="G129" s="30"/>
      <c r="H129" s="27" t="str">
        <f t="shared" si="15"/>
        <v/>
      </c>
      <c r="I129" s="30"/>
    </row>
    <row r="130" ht="18.75" customHeight="1">
      <c r="A130" s="31"/>
      <c r="B130" s="31"/>
      <c r="C130" s="31"/>
      <c r="D130" s="31"/>
      <c r="E130" s="31"/>
      <c r="F130" s="31"/>
      <c r="G130" s="31"/>
      <c r="H130" s="23" t="str">
        <f t="shared" si="15"/>
        <v/>
      </c>
      <c r="I130" s="31"/>
    </row>
    <row r="131" ht="18.75" customHeight="1">
      <c r="A131" s="30"/>
      <c r="B131" s="30"/>
      <c r="C131" s="30"/>
      <c r="D131" s="30"/>
      <c r="E131" s="30"/>
      <c r="F131" s="30"/>
      <c r="G131" s="30"/>
      <c r="H131" s="27" t="str">
        <f t="shared" si="15"/>
        <v/>
      </c>
      <c r="I131" s="30"/>
    </row>
    <row r="132" ht="18.75" customHeight="1">
      <c r="A132" s="31"/>
      <c r="B132" s="31"/>
      <c r="C132" s="31"/>
      <c r="D132" s="31"/>
      <c r="E132" s="31"/>
      <c r="F132" s="31"/>
      <c r="G132" s="31"/>
      <c r="H132" s="23" t="str">
        <f t="shared" si="15"/>
        <v/>
      </c>
      <c r="I132" s="31"/>
    </row>
    <row r="133" ht="18.75" customHeight="1">
      <c r="A133" s="30"/>
      <c r="B133" s="30"/>
      <c r="C133" s="30"/>
      <c r="D133" s="30"/>
      <c r="E133" s="30"/>
      <c r="F133" s="30"/>
      <c r="G133" s="30"/>
      <c r="H133" s="27" t="str">
        <f t="shared" si="15"/>
        <v/>
      </c>
      <c r="I133" s="30"/>
    </row>
    <row r="134" ht="18.75" customHeight="1">
      <c r="A134" s="31"/>
      <c r="B134" s="31"/>
      <c r="C134" s="31"/>
      <c r="D134" s="31"/>
      <c r="E134" s="31"/>
      <c r="F134" s="31"/>
      <c r="G134" s="31"/>
      <c r="H134" s="23"/>
      <c r="I134" s="31"/>
    </row>
    <row r="135" ht="18.75" customHeight="1">
      <c r="A135" s="30"/>
      <c r="B135" s="30"/>
      <c r="C135" s="30"/>
      <c r="D135" s="30"/>
      <c r="E135" s="30"/>
      <c r="F135" s="30"/>
      <c r="G135" s="30"/>
      <c r="H135" s="27" t="str">
        <f t="shared" ref="H135:H141" si="16">IF(AND(F135="", G135=""), "", SUM($F$12:F135)-SUM($G$12:G135))</f>
        <v/>
      </c>
      <c r="I135" s="30"/>
    </row>
    <row r="136" ht="18.75" customHeight="1">
      <c r="A136" s="31"/>
      <c r="B136" s="31"/>
      <c r="C136" s="31"/>
      <c r="D136" s="31"/>
      <c r="E136" s="31"/>
      <c r="F136" s="31"/>
      <c r="G136" s="31"/>
      <c r="H136" s="23" t="str">
        <f t="shared" si="16"/>
        <v/>
      </c>
      <c r="I136" s="31"/>
    </row>
    <row r="137" ht="18.75" customHeight="1">
      <c r="A137" s="30"/>
      <c r="B137" s="30"/>
      <c r="C137" s="30"/>
      <c r="D137" s="30"/>
      <c r="E137" s="30"/>
      <c r="F137" s="30"/>
      <c r="G137" s="30"/>
      <c r="H137" s="27" t="str">
        <f t="shared" si="16"/>
        <v/>
      </c>
      <c r="I137" s="30"/>
    </row>
    <row r="138" ht="18.75" customHeight="1">
      <c r="A138" s="31"/>
      <c r="B138" s="31"/>
      <c r="C138" s="31"/>
      <c r="D138" s="31"/>
      <c r="E138" s="31"/>
      <c r="F138" s="31"/>
      <c r="G138" s="31"/>
      <c r="H138" s="23" t="str">
        <f t="shared" si="16"/>
        <v/>
      </c>
      <c r="I138" s="31"/>
    </row>
    <row r="139" ht="18.75" customHeight="1">
      <c r="A139" s="30"/>
      <c r="B139" s="30"/>
      <c r="C139" s="30"/>
      <c r="D139" s="30"/>
      <c r="E139" s="30"/>
      <c r="F139" s="30"/>
      <c r="G139" s="30"/>
      <c r="H139" s="27" t="str">
        <f t="shared" si="16"/>
        <v/>
      </c>
      <c r="I139" s="30"/>
    </row>
    <row r="140" ht="18.75" customHeight="1">
      <c r="A140" s="31"/>
      <c r="B140" s="31"/>
      <c r="C140" s="31"/>
      <c r="D140" s="31"/>
      <c r="E140" s="31"/>
      <c r="F140" s="31"/>
      <c r="G140" s="31"/>
      <c r="H140" s="23" t="str">
        <f t="shared" si="16"/>
        <v/>
      </c>
      <c r="I140" s="31"/>
    </row>
    <row r="141" ht="18.75" customHeight="1">
      <c r="A141" s="30"/>
      <c r="B141" s="30"/>
      <c r="C141" s="30"/>
      <c r="D141" s="30"/>
      <c r="E141" s="30"/>
      <c r="F141" s="30"/>
      <c r="G141" s="30"/>
      <c r="H141" s="27" t="str">
        <f t="shared" si="16"/>
        <v/>
      </c>
      <c r="I141" s="30"/>
    </row>
    <row r="142" ht="18.75" customHeight="1">
      <c r="A142" s="31"/>
      <c r="B142" s="31"/>
      <c r="C142" s="31"/>
      <c r="D142" s="31"/>
      <c r="E142" s="31"/>
      <c r="F142" s="31"/>
      <c r="G142" s="31"/>
      <c r="H142" s="23"/>
      <c r="I142" s="31"/>
    </row>
    <row r="143" ht="18.75" customHeight="1">
      <c r="A143" s="30"/>
      <c r="B143" s="30"/>
      <c r="C143" s="30"/>
      <c r="D143" s="30"/>
      <c r="E143" s="30"/>
      <c r="F143" s="30"/>
      <c r="G143" s="30"/>
      <c r="H143" s="27" t="str">
        <f t="shared" ref="H143:H149" si="17">IF(AND(F143="", G143=""), "", SUM($F$12:F143)-SUM($G$12:G143))</f>
        <v/>
      </c>
      <c r="I143" s="30"/>
    </row>
    <row r="144" ht="18.75" customHeight="1">
      <c r="A144" s="31"/>
      <c r="B144" s="31"/>
      <c r="C144" s="31"/>
      <c r="D144" s="31"/>
      <c r="E144" s="31"/>
      <c r="F144" s="31"/>
      <c r="G144" s="31"/>
      <c r="H144" s="23" t="str">
        <f t="shared" si="17"/>
        <v/>
      </c>
      <c r="I144" s="31"/>
    </row>
    <row r="145" ht="18.75" customHeight="1">
      <c r="A145" s="30"/>
      <c r="B145" s="30"/>
      <c r="C145" s="30"/>
      <c r="D145" s="30"/>
      <c r="E145" s="30"/>
      <c r="F145" s="30"/>
      <c r="G145" s="30"/>
      <c r="H145" s="27" t="str">
        <f t="shared" si="17"/>
        <v/>
      </c>
      <c r="I145" s="30"/>
    </row>
    <row r="146" ht="18.75" customHeight="1">
      <c r="A146" s="31"/>
      <c r="B146" s="31"/>
      <c r="C146" s="31"/>
      <c r="D146" s="31"/>
      <c r="E146" s="31"/>
      <c r="F146" s="31"/>
      <c r="G146" s="31"/>
      <c r="H146" s="23" t="str">
        <f t="shared" si="17"/>
        <v/>
      </c>
      <c r="I146" s="31"/>
    </row>
    <row r="147" ht="18.75" customHeight="1">
      <c r="A147" s="30"/>
      <c r="B147" s="30"/>
      <c r="C147" s="30"/>
      <c r="D147" s="30"/>
      <c r="E147" s="30"/>
      <c r="F147" s="30"/>
      <c r="G147" s="30"/>
      <c r="H147" s="27" t="str">
        <f t="shared" si="17"/>
        <v/>
      </c>
      <c r="I147" s="30"/>
    </row>
    <row r="148" ht="18.75" customHeight="1">
      <c r="A148" s="31"/>
      <c r="B148" s="31"/>
      <c r="C148" s="31"/>
      <c r="D148" s="31"/>
      <c r="E148" s="31"/>
      <c r="F148" s="31"/>
      <c r="G148" s="31"/>
      <c r="H148" s="23" t="str">
        <f t="shared" si="17"/>
        <v/>
      </c>
      <c r="I148" s="31"/>
    </row>
    <row r="149" ht="18.75" customHeight="1">
      <c r="A149" s="30"/>
      <c r="B149" s="30"/>
      <c r="C149" s="30"/>
      <c r="D149" s="30"/>
      <c r="E149" s="30"/>
      <c r="F149" s="30"/>
      <c r="G149" s="30"/>
      <c r="H149" s="27" t="str">
        <f t="shared" si="17"/>
        <v/>
      </c>
      <c r="I149" s="30"/>
    </row>
    <row r="150" ht="18.75" customHeight="1">
      <c r="A150" s="31"/>
      <c r="B150" s="31"/>
      <c r="C150" s="31"/>
      <c r="D150" s="31"/>
      <c r="E150" s="31"/>
      <c r="F150" s="31"/>
      <c r="G150" s="31"/>
      <c r="H150" s="23"/>
      <c r="I150" s="31"/>
    </row>
    <row r="151" ht="18.75" customHeight="1">
      <c r="A151" s="30"/>
      <c r="B151" s="30"/>
      <c r="C151" s="30"/>
      <c r="D151" s="30"/>
      <c r="E151" s="30"/>
      <c r="F151" s="30"/>
      <c r="G151" s="30"/>
      <c r="H151" s="27" t="str">
        <f t="shared" ref="H151:H157" si="18">IF(AND(F151="", G151=""), "", SUM($F$12:F151)-SUM($G$12:G151))</f>
        <v/>
      </c>
      <c r="I151" s="30"/>
    </row>
    <row r="152" ht="18.75" customHeight="1">
      <c r="A152" s="31"/>
      <c r="B152" s="31"/>
      <c r="C152" s="31"/>
      <c r="D152" s="31"/>
      <c r="E152" s="31"/>
      <c r="F152" s="31"/>
      <c r="G152" s="31"/>
      <c r="H152" s="23" t="str">
        <f t="shared" si="18"/>
        <v/>
      </c>
      <c r="I152" s="31"/>
    </row>
    <row r="153" ht="18.75" customHeight="1">
      <c r="A153" s="30"/>
      <c r="B153" s="30"/>
      <c r="C153" s="30"/>
      <c r="D153" s="30"/>
      <c r="E153" s="30"/>
      <c r="F153" s="30"/>
      <c r="G153" s="30"/>
      <c r="H153" s="27" t="str">
        <f t="shared" si="18"/>
        <v/>
      </c>
      <c r="I153" s="30"/>
    </row>
    <row r="154" ht="18.75" customHeight="1">
      <c r="A154" s="31"/>
      <c r="B154" s="31"/>
      <c r="C154" s="31"/>
      <c r="D154" s="31"/>
      <c r="E154" s="31"/>
      <c r="F154" s="31"/>
      <c r="G154" s="31"/>
      <c r="H154" s="23" t="str">
        <f t="shared" si="18"/>
        <v/>
      </c>
      <c r="I154" s="31"/>
    </row>
    <row r="155" ht="18.75" customHeight="1">
      <c r="A155" s="30"/>
      <c r="B155" s="30"/>
      <c r="C155" s="30"/>
      <c r="D155" s="30"/>
      <c r="E155" s="30"/>
      <c r="F155" s="30"/>
      <c r="G155" s="30"/>
      <c r="H155" s="27" t="str">
        <f t="shared" si="18"/>
        <v/>
      </c>
      <c r="I155" s="30"/>
    </row>
    <row r="156" ht="18.75" customHeight="1">
      <c r="A156" s="31"/>
      <c r="B156" s="31"/>
      <c r="C156" s="31"/>
      <c r="D156" s="31"/>
      <c r="E156" s="31"/>
      <c r="F156" s="31"/>
      <c r="G156" s="31"/>
      <c r="H156" s="23" t="str">
        <f t="shared" si="18"/>
        <v/>
      </c>
      <c r="I156" s="31"/>
    </row>
    <row r="157" ht="18.75" customHeight="1">
      <c r="A157" s="30"/>
      <c r="B157" s="30"/>
      <c r="C157" s="30"/>
      <c r="D157" s="30"/>
      <c r="E157" s="30"/>
      <c r="F157" s="30"/>
      <c r="G157" s="30"/>
      <c r="H157" s="27" t="str">
        <f t="shared" si="18"/>
        <v/>
      </c>
      <c r="I157" s="30"/>
    </row>
    <row r="158" ht="18.75" customHeight="1">
      <c r="A158" s="31"/>
      <c r="B158" s="31"/>
      <c r="C158" s="31"/>
      <c r="D158" s="31"/>
      <c r="E158" s="31"/>
      <c r="F158" s="31"/>
      <c r="G158" s="31"/>
      <c r="H158" s="23"/>
      <c r="I158" s="31"/>
    </row>
    <row r="159" ht="18.75" customHeight="1">
      <c r="A159" s="30"/>
      <c r="B159" s="30"/>
      <c r="C159" s="30"/>
      <c r="D159" s="30"/>
      <c r="E159" s="30"/>
      <c r="F159" s="30"/>
      <c r="G159" s="30"/>
      <c r="H159" s="27" t="str">
        <f t="shared" ref="H159:H165" si="19">IF(AND(F159="", G159=""), "", SUM($F$12:F159)-SUM($G$12:G159))</f>
        <v/>
      </c>
      <c r="I159" s="30"/>
    </row>
    <row r="160" ht="18.75" customHeight="1">
      <c r="A160" s="31"/>
      <c r="B160" s="31"/>
      <c r="C160" s="31"/>
      <c r="D160" s="31"/>
      <c r="E160" s="31"/>
      <c r="F160" s="31"/>
      <c r="G160" s="31"/>
      <c r="H160" s="23" t="str">
        <f t="shared" si="19"/>
        <v/>
      </c>
      <c r="I160" s="31"/>
    </row>
    <row r="161" ht="18.75" customHeight="1">
      <c r="A161" s="30"/>
      <c r="B161" s="30"/>
      <c r="C161" s="30"/>
      <c r="D161" s="30"/>
      <c r="E161" s="30"/>
      <c r="F161" s="30"/>
      <c r="G161" s="30"/>
      <c r="H161" s="27" t="str">
        <f t="shared" si="19"/>
        <v/>
      </c>
      <c r="I161" s="30"/>
    </row>
    <row r="162" ht="18.75" customHeight="1">
      <c r="A162" s="31"/>
      <c r="B162" s="31"/>
      <c r="C162" s="31"/>
      <c r="D162" s="31"/>
      <c r="E162" s="31"/>
      <c r="F162" s="31"/>
      <c r="G162" s="31"/>
      <c r="H162" s="23" t="str">
        <f t="shared" si="19"/>
        <v/>
      </c>
      <c r="I162" s="31"/>
    </row>
    <row r="163" ht="18.75" customHeight="1">
      <c r="A163" s="30"/>
      <c r="B163" s="30"/>
      <c r="C163" s="30"/>
      <c r="D163" s="30"/>
      <c r="E163" s="30"/>
      <c r="F163" s="30"/>
      <c r="G163" s="30"/>
      <c r="H163" s="27" t="str">
        <f t="shared" si="19"/>
        <v/>
      </c>
      <c r="I163" s="30"/>
    </row>
    <row r="164" ht="18.75" customHeight="1">
      <c r="A164" s="31"/>
      <c r="B164" s="31"/>
      <c r="C164" s="31"/>
      <c r="D164" s="31"/>
      <c r="E164" s="31"/>
      <c r="F164" s="31"/>
      <c r="G164" s="31"/>
      <c r="H164" s="23" t="str">
        <f t="shared" si="19"/>
        <v/>
      </c>
      <c r="I164" s="31"/>
    </row>
    <row r="165" ht="18.75" customHeight="1">
      <c r="A165" s="30"/>
      <c r="B165" s="30"/>
      <c r="C165" s="30"/>
      <c r="D165" s="30"/>
      <c r="E165" s="30"/>
      <c r="F165" s="30"/>
      <c r="G165" s="30"/>
      <c r="H165" s="27" t="str">
        <f t="shared" si="19"/>
        <v/>
      </c>
      <c r="I165" s="30"/>
    </row>
    <row r="166" ht="18.75" customHeight="1">
      <c r="A166" s="31"/>
      <c r="B166" s="31"/>
      <c r="C166" s="31"/>
      <c r="D166" s="31"/>
      <c r="E166" s="31"/>
      <c r="F166" s="31"/>
      <c r="G166" s="31"/>
      <c r="H166" s="23"/>
      <c r="I166" s="31"/>
    </row>
    <row r="167" ht="18.75" customHeight="1">
      <c r="A167" s="30"/>
      <c r="B167" s="30"/>
      <c r="C167" s="30"/>
      <c r="D167" s="30"/>
      <c r="E167" s="30"/>
      <c r="F167" s="30"/>
      <c r="G167" s="30"/>
      <c r="H167" s="27" t="str">
        <f t="shared" ref="H167:H173" si="20">IF(AND(F167="", G167=""), "", SUM($F$12:F167)-SUM($G$12:G167))</f>
        <v/>
      </c>
      <c r="I167" s="30"/>
    </row>
    <row r="168" ht="18.75" customHeight="1">
      <c r="A168" s="31"/>
      <c r="B168" s="31"/>
      <c r="C168" s="31"/>
      <c r="D168" s="31"/>
      <c r="E168" s="31"/>
      <c r="F168" s="31"/>
      <c r="G168" s="31"/>
      <c r="H168" s="23" t="str">
        <f t="shared" si="20"/>
        <v/>
      </c>
      <c r="I168" s="31"/>
    </row>
    <row r="169" ht="18.75" customHeight="1">
      <c r="A169" s="30"/>
      <c r="B169" s="30"/>
      <c r="C169" s="30"/>
      <c r="D169" s="30"/>
      <c r="E169" s="30"/>
      <c r="F169" s="30"/>
      <c r="G169" s="30"/>
      <c r="H169" s="27" t="str">
        <f t="shared" si="20"/>
        <v/>
      </c>
      <c r="I169" s="30"/>
    </row>
    <row r="170" ht="18.75" customHeight="1">
      <c r="A170" s="31"/>
      <c r="B170" s="31"/>
      <c r="C170" s="31"/>
      <c r="D170" s="31"/>
      <c r="E170" s="31"/>
      <c r="F170" s="31"/>
      <c r="G170" s="31"/>
      <c r="H170" s="23" t="str">
        <f t="shared" si="20"/>
        <v/>
      </c>
      <c r="I170" s="31"/>
    </row>
    <row r="171" ht="18.75" customHeight="1">
      <c r="A171" s="30"/>
      <c r="B171" s="30"/>
      <c r="C171" s="30"/>
      <c r="D171" s="30"/>
      <c r="E171" s="30"/>
      <c r="F171" s="30"/>
      <c r="G171" s="30"/>
      <c r="H171" s="27" t="str">
        <f t="shared" si="20"/>
        <v/>
      </c>
      <c r="I171" s="30"/>
    </row>
    <row r="172" ht="18.75" customHeight="1">
      <c r="A172" s="31"/>
      <c r="B172" s="31"/>
      <c r="C172" s="31"/>
      <c r="D172" s="31"/>
      <c r="E172" s="31"/>
      <c r="F172" s="31"/>
      <c r="G172" s="31"/>
      <c r="H172" s="23" t="str">
        <f t="shared" si="20"/>
        <v/>
      </c>
      <c r="I172" s="31"/>
    </row>
    <row r="173" ht="18.75" customHeight="1">
      <c r="A173" s="30"/>
      <c r="B173" s="30"/>
      <c r="C173" s="30"/>
      <c r="D173" s="30"/>
      <c r="E173" s="30"/>
      <c r="F173" s="30"/>
      <c r="G173" s="30"/>
      <c r="H173" s="27" t="str">
        <f t="shared" si="20"/>
        <v/>
      </c>
      <c r="I173" s="30"/>
    </row>
    <row r="174" ht="18.75" customHeight="1">
      <c r="A174" s="31"/>
      <c r="B174" s="31"/>
      <c r="C174" s="31"/>
      <c r="D174" s="31"/>
      <c r="E174" s="31"/>
      <c r="F174" s="31"/>
      <c r="G174" s="31"/>
      <c r="H174" s="23"/>
      <c r="I174" s="31"/>
    </row>
    <row r="175" ht="18.75" customHeight="1">
      <c r="A175" s="30"/>
      <c r="B175" s="30"/>
      <c r="C175" s="30"/>
      <c r="D175" s="30"/>
      <c r="E175" s="30"/>
      <c r="F175" s="30"/>
      <c r="G175" s="30"/>
      <c r="H175" s="27" t="str">
        <f t="shared" ref="H175:H181" si="21">IF(AND(F175="", G175=""), "", SUM($F$12:F175)-SUM($G$12:G175))</f>
        <v/>
      </c>
      <c r="I175" s="30"/>
    </row>
    <row r="176" ht="18.75" customHeight="1">
      <c r="A176" s="31"/>
      <c r="B176" s="31"/>
      <c r="C176" s="31"/>
      <c r="D176" s="31"/>
      <c r="E176" s="31"/>
      <c r="F176" s="31"/>
      <c r="G176" s="31"/>
      <c r="H176" s="23" t="str">
        <f t="shared" si="21"/>
        <v/>
      </c>
      <c r="I176" s="31"/>
    </row>
    <row r="177" ht="18.75" customHeight="1">
      <c r="A177" s="30"/>
      <c r="B177" s="30"/>
      <c r="C177" s="30"/>
      <c r="D177" s="30"/>
      <c r="E177" s="30"/>
      <c r="F177" s="30"/>
      <c r="G177" s="30"/>
      <c r="H177" s="27" t="str">
        <f t="shared" si="21"/>
        <v/>
      </c>
      <c r="I177" s="30"/>
    </row>
    <row r="178" ht="18.75" customHeight="1">
      <c r="A178" s="31"/>
      <c r="B178" s="31"/>
      <c r="C178" s="31"/>
      <c r="D178" s="31"/>
      <c r="E178" s="31"/>
      <c r="F178" s="31"/>
      <c r="G178" s="31"/>
      <c r="H178" s="23" t="str">
        <f t="shared" si="21"/>
        <v/>
      </c>
      <c r="I178" s="31"/>
    </row>
    <row r="179" ht="18.75" customHeight="1">
      <c r="A179" s="30"/>
      <c r="B179" s="30"/>
      <c r="C179" s="30"/>
      <c r="D179" s="30"/>
      <c r="E179" s="30"/>
      <c r="F179" s="30"/>
      <c r="G179" s="30"/>
      <c r="H179" s="27" t="str">
        <f t="shared" si="21"/>
        <v/>
      </c>
      <c r="I179" s="30"/>
    </row>
    <row r="180" ht="18.75" customHeight="1">
      <c r="A180" s="31"/>
      <c r="B180" s="31"/>
      <c r="C180" s="31"/>
      <c r="D180" s="31"/>
      <c r="E180" s="31"/>
      <c r="F180" s="31"/>
      <c r="G180" s="31"/>
      <c r="H180" s="23" t="str">
        <f t="shared" si="21"/>
        <v/>
      </c>
      <c r="I180" s="31"/>
    </row>
    <row r="181" ht="18.75" customHeight="1">
      <c r="A181" s="30"/>
      <c r="B181" s="30"/>
      <c r="C181" s="30"/>
      <c r="D181" s="30"/>
      <c r="E181" s="30"/>
      <c r="F181" s="30"/>
      <c r="G181" s="30"/>
      <c r="H181" s="27" t="str">
        <f t="shared" si="21"/>
        <v/>
      </c>
      <c r="I181" s="30"/>
    </row>
    <row r="182" ht="18.75" customHeight="1">
      <c r="A182" s="31"/>
      <c r="B182" s="31"/>
      <c r="C182" s="31"/>
      <c r="D182" s="31"/>
      <c r="E182" s="31"/>
      <c r="F182" s="31"/>
      <c r="G182" s="31"/>
      <c r="H182" s="23"/>
      <c r="I182" s="31"/>
    </row>
    <row r="183" ht="18.75" customHeight="1">
      <c r="A183" s="30"/>
      <c r="B183" s="30"/>
      <c r="C183" s="30"/>
      <c r="D183" s="30"/>
      <c r="E183" s="30"/>
      <c r="F183" s="30"/>
      <c r="G183" s="30"/>
      <c r="H183" s="27" t="str">
        <f t="shared" ref="H183:H189" si="22">IF(AND(F183="", G183=""), "", SUM($F$12:F183)-SUM($G$12:G183))</f>
        <v/>
      </c>
      <c r="I183" s="30"/>
    </row>
    <row r="184" ht="18.75" customHeight="1">
      <c r="A184" s="31"/>
      <c r="B184" s="31"/>
      <c r="C184" s="31"/>
      <c r="D184" s="31"/>
      <c r="E184" s="31"/>
      <c r="F184" s="31"/>
      <c r="G184" s="31"/>
      <c r="H184" s="23" t="str">
        <f t="shared" si="22"/>
        <v/>
      </c>
      <c r="I184" s="31"/>
    </row>
    <row r="185" ht="18.75" customHeight="1">
      <c r="A185" s="30"/>
      <c r="B185" s="30"/>
      <c r="C185" s="30"/>
      <c r="D185" s="30"/>
      <c r="E185" s="30"/>
      <c r="F185" s="30"/>
      <c r="G185" s="30"/>
      <c r="H185" s="27" t="str">
        <f t="shared" si="22"/>
        <v/>
      </c>
      <c r="I185" s="30"/>
    </row>
    <row r="186" ht="18.75" customHeight="1">
      <c r="A186" s="31"/>
      <c r="B186" s="31"/>
      <c r="C186" s="31"/>
      <c r="D186" s="31"/>
      <c r="E186" s="31"/>
      <c r="F186" s="31"/>
      <c r="G186" s="31"/>
      <c r="H186" s="23" t="str">
        <f t="shared" si="22"/>
        <v/>
      </c>
      <c r="I186" s="31"/>
    </row>
    <row r="187" ht="18.75" customHeight="1">
      <c r="A187" s="30"/>
      <c r="B187" s="30"/>
      <c r="C187" s="30"/>
      <c r="D187" s="30"/>
      <c r="E187" s="30"/>
      <c r="F187" s="30"/>
      <c r="G187" s="30"/>
      <c r="H187" s="27" t="str">
        <f t="shared" si="22"/>
        <v/>
      </c>
      <c r="I187" s="30"/>
    </row>
    <row r="188" ht="18.75" customHeight="1">
      <c r="A188" s="31"/>
      <c r="B188" s="31"/>
      <c r="C188" s="31"/>
      <c r="D188" s="31"/>
      <c r="E188" s="31"/>
      <c r="F188" s="31"/>
      <c r="G188" s="31"/>
      <c r="H188" s="23" t="str">
        <f t="shared" si="22"/>
        <v/>
      </c>
      <c r="I188" s="31"/>
    </row>
    <row r="189" ht="18.75" customHeight="1">
      <c r="A189" s="30"/>
      <c r="B189" s="30"/>
      <c r="C189" s="30"/>
      <c r="D189" s="30"/>
      <c r="E189" s="30"/>
      <c r="F189" s="30"/>
      <c r="G189" s="30"/>
      <c r="H189" s="27" t="str">
        <f t="shared" si="22"/>
        <v/>
      </c>
      <c r="I189" s="30"/>
    </row>
    <row r="190" ht="18.75" customHeight="1">
      <c r="A190" s="31"/>
      <c r="B190" s="31"/>
      <c r="C190" s="31"/>
      <c r="D190" s="31"/>
      <c r="E190" s="31"/>
      <c r="F190" s="31"/>
      <c r="G190" s="31"/>
      <c r="H190" s="23"/>
      <c r="I190" s="31"/>
    </row>
    <row r="191" ht="18.75" customHeight="1">
      <c r="A191" s="30"/>
      <c r="B191" s="30"/>
      <c r="C191" s="30"/>
      <c r="D191" s="30"/>
      <c r="E191" s="30"/>
      <c r="F191" s="30"/>
      <c r="G191" s="30"/>
      <c r="H191" s="27" t="str">
        <f t="shared" ref="H191:H197" si="23">IF(AND(F191="", G191=""), "", SUM($F$12:F191)-SUM($G$12:G191))</f>
        <v/>
      </c>
      <c r="I191" s="30"/>
    </row>
    <row r="192" ht="18.75" customHeight="1">
      <c r="A192" s="31"/>
      <c r="B192" s="31"/>
      <c r="C192" s="31"/>
      <c r="D192" s="31"/>
      <c r="E192" s="31"/>
      <c r="F192" s="31"/>
      <c r="G192" s="31"/>
      <c r="H192" s="23" t="str">
        <f t="shared" si="23"/>
        <v/>
      </c>
      <c r="I192" s="31"/>
    </row>
    <row r="193" ht="18.75" customHeight="1">
      <c r="A193" s="30"/>
      <c r="B193" s="30"/>
      <c r="C193" s="30"/>
      <c r="D193" s="30"/>
      <c r="E193" s="30"/>
      <c r="F193" s="30"/>
      <c r="G193" s="30"/>
      <c r="H193" s="27" t="str">
        <f t="shared" si="23"/>
        <v/>
      </c>
      <c r="I193" s="30"/>
    </row>
    <row r="194" ht="18.75" customHeight="1">
      <c r="A194" s="31"/>
      <c r="B194" s="31"/>
      <c r="C194" s="31"/>
      <c r="D194" s="31"/>
      <c r="E194" s="31"/>
      <c r="F194" s="31"/>
      <c r="G194" s="31"/>
      <c r="H194" s="23" t="str">
        <f t="shared" si="23"/>
        <v/>
      </c>
      <c r="I194" s="31"/>
    </row>
    <row r="195" ht="18.75" customHeight="1">
      <c r="A195" s="30"/>
      <c r="B195" s="30"/>
      <c r="C195" s="30"/>
      <c r="D195" s="30"/>
      <c r="E195" s="30"/>
      <c r="F195" s="30"/>
      <c r="G195" s="30"/>
      <c r="H195" s="27" t="str">
        <f t="shared" si="23"/>
        <v/>
      </c>
      <c r="I195" s="30"/>
    </row>
    <row r="196" ht="18.75" customHeight="1">
      <c r="A196" s="31"/>
      <c r="B196" s="31"/>
      <c r="C196" s="31"/>
      <c r="D196" s="31"/>
      <c r="E196" s="31"/>
      <c r="F196" s="31"/>
      <c r="G196" s="31"/>
      <c r="H196" s="23" t="str">
        <f t="shared" si="23"/>
        <v/>
      </c>
      <c r="I196" s="31"/>
    </row>
    <row r="197" ht="18.75" customHeight="1">
      <c r="A197" s="30"/>
      <c r="B197" s="30"/>
      <c r="C197" s="30"/>
      <c r="D197" s="30"/>
      <c r="E197" s="30"/>
      <c r="F197" s="30"/>
      <c r="G197" s="30"/>
      <c r="H197" s="27" t="str">
        <f t="shared" si="23"/>
        <v/>
      </c>
      <c r="I197" s="30"/>
    </row>
    <row r="198" ht="18.75" customHeight="1">
      <c r="A198" s="31"/>
      <c r="B198" s="31"/>
      <c r="C198" s="31"/>
      <c r="D198" s="31"/>
      <c r="E198" s="31"/>
      <c r="F198" s="31"/>
      <c r="G198" s="31"/>
      <c r="H198" s="23"/>
      <c r="I198" s="31"/>
    </row>
    <row r="199" ht="18.75" customHeight="1">
      <c r="A199" s="30"/>
      <c r="B199" s="30"/>
      <c r="C199" s="30"/>
      <c r="D199" s="30"/>
      <c r="E199" s="30"/>
      <c r="F199" s="30"/>
      <c r="G199" s="30"/>
      <c r="H199" s="27" t="str">
        <f t="shared" ref="H199:H205" si="24">IF(AND(F199="", G199=""), "", SUM($F$12:F199)-SUM($G$12:G199))</f>
        <v/>
      </c>
      <c r="I199" s="30"/>
    </row>
    <row r="200" ht="18.75" customHeight="1">
      <c r="A200" s="31"/>
      <c r="B200" s="31"/>
      <c r="C200" s="31"/>
      <c r="D200" s="31"/>
      <c r="E200" s="31"/>
      <c r="F200" s="31"/>
      <c r="G200" s="31"/>
      <c r="H200" s="23" t="str">
        <f t="shared" si="24"/>
        <v/>
      </c>
      <c r="I200" s="31"/>
    </row>
    <row r="201" ht="18.75" customHeight="1">
      <c r="A201" s="30"/>
      <c r="B201" s="30"/>
      <c r="C201" s="30"/>
      <c r="D201" s="30"/>
      <c r="E201" s="30"/>
      <c r="F201" s="30"/>
      <c r="G201" s="30"/>
      <c r="H201" s="27" t="str">
        <f t="shared" si="24"/>
        <v/>
      </c>
      <c r="I201" s="30"/>
    </row>
    <row r="202" ht="18.75" customHeight="1">
      <c r="A202" s="31"/>
      <c r="B202" s="31"/>
      <c r="C202" s="31"/>
      <c r="D202" s="31"/>
      <c r="E202" s="31"/>
      <c r="F202" s="31"/>
      <c r="G202" s="31"/>
      <c r="H202" s="23" t="str">
        <f t="shared" si="24"/>
        <v/>
      </c>
      <c r="I202" s="31"/>
    </row>
    <row r="203" ht="18.75" customHeight="1">
      <c r="A203" s="30"/>
      <c r="B203" s="30"/>
      <c r="C203" s="30"/>
      <c r="D203" s="30"/>
      <c r="E203" s="30"/>
      <c r="F203" s="30"/>
      <c r="G203" s="30"/>
      <c r="H203" s="27" t="str">
        <f t="shared" si="24"/>
        <v/>
      </c>
      <c r="I203" s="30"/>
    </row>
    <row r="204" ht="18.75" customHeight="1">
      <c r="A204" s="31"/>
      <c r="B204" s="31"/>
      <c r="C204" s="31"/>
      <c r="D204" s="31"/>
      <c r="E204" s="31"/>
      <c r="F204" s="31"/>
      <c r="G204" s="31"/>
      <c r="H204" s="23" t="str">
        <f t="shared" si="24"/>
        <v/>
      </c>
      <c r="I204" s="31"/>
    </row>
    <row r="205" ht="18.75" customHeight="1">
      <c r="A205" s="30"/>
      <c r="B205" s="30"/>
      <c r="C205" s="30"/>
      <c r="D205" s="30"/>
      <c r="E205" s="30"/>
      <c r="F205" s="30"/>
      <c r="G205" s="30"/>
      <c r="H205" s="27" t="str">
        <f t="shared" si="24"/>
        <v/>
      </c>
      <c r="I205" s="30"/>
    </row>
    <row r="206" ht="18.75" customHeight="1">
      <c r="A206" s="31"/>
      <c r="B206" s="31"/>
      <c r="C206" s="31"/>
      <c r="D206" s="31"/>
      <c r="E206" s="31"/>
      <c r="F206" s="31"/>
      <c r="G206" s="31"/>
      <c r="H206" s="23"/>
      <c r="I206" s="31"/>
    </row>
    <row r="207" ht="18.75" customHeight="1">
      <c r="A207" s="30"/>
      <c r="B207" s="30"/>
      <c r="C207" s="30"/>
      <c r="D207" s="30"/>
      <c r="E207" s="30"/>
      <c r="F207" s="30"/>
      <c r="G207" s="30"/>
      <c r="H207" s="27" t="str">
        <f t="shared" ref="H207:H213" si="25">IF(AND(F207="", G207=""), "", SUM($F$12:F207)-SUM($G$12:G207))</f>
        <v/>
      </c>
      <c r="I207" s="30"/>
    </row>
    <row r="208" ht="18.75" customHeight="1">
      <c r="A208" s="31"/>
      <c r="B208" s="31"/>
      <c r="C208" s="31"/>
      <c r="D208" s="31"/>
      <c r="E208" s="31"/>
      <c r="F208" s="31"/>
      <c r="G208" s="31"/>
      <c r="H208" s="23" t="str">
        <f t="shared" si="25"/>
        <v/>
      </c>
      <c r="I208" s="31"/>
    </row>
    <row r="209" ht="18.75" customHeight="1">
      <c r="A209" s="30"/>
      <c r="B209" s="30"/>
      <c r="C209" s="30"/>
      <c r="D209" s="30"/>
      <c r="E209" s="30"/>
      <c r="F209" s="30"/>
      <c r="G209" s="30"/>
      <c r="H209" s="27" t="str">
        <f t="shared" si="25"/>
        <v/>
      </c>
      <c r="I209" s="30"/>
    </row>
    <row r="210" ht="18.75" customHeight="1">
      <c r="A210" s="31"/>
      <c r="B210" s="31"/>
      <c r="C210" s="31"/>
      <c r="D210" s="31"/>
      <c r="E210" s="31"/>
      <c r="F210" s="31"/>
      <c r="G210" s="31"/>
      <c r="H210" s="23" t="str">
        <f t="shared" si="25"/>
        <v/>
      </c>
      <c r="I210" s="31"/>
    </row>
    <row r="211" ht="18.75" customHeight="1">
      <c r="A211" s="30"/>
      <c r="B211" s="30"/>
      <c r="C211" s="30"/>
      <c r="D211" s="30"/>
      <c r="E211" s="30"/>
      <c r="F211" s="30"/>
      <c r="G211" s="30"/>
      <c r="H211" s="27" t="str">
        <f t="shared" si="25"/>
        <v/>
      </c>
      <c r="I211" s="30"/>
    </row>
    <row r="212" ht="18.75" customHeight="1">
      <c r="A212" s="31"/>
      <c r="B212" s="31"/>
      <c r="C212" s="31"/>
      <c r="D212" s="31"/>
      <c r="E212" s="31"/>
      <c r="F212" s="31"/>
      <c r="G212" s="31"/>
      <c r="H212" s="23" t="str">
        <f t="shared" si="25"/>
        <v/>
      </c>
      <c r="I212" s="31"/>
    </row>
    <row r="213" ht="18.75" customHeight="1">
      <c r="A213" s="30"/>
      <c r="B213" s="30"/>
      <c r="C213" s="30"/>
      <c r="D213" s="30"/>
      <c r="E213" s="30"/>
      <c r="F213" s="30"/>
      <c r="G213" s="30"/>
      <c r="H213" s="27" t="str">
        <f t="shared" si="25"/>
        <v/>
      </c>
      <c r="I213" s="30"/>
    </row>
    <row r="214" ht="18.75" customHeight="1">
      <c r="A214" s="31"/>
      <c r="B214" s="31"/>
      <c r="C214" s="31"/>
      <c r="D214" s="31"/>
      <c r="E214" s="31"/>
      <c r="F214" s="31"/>
      <c r="G214" s="31"/>
      <c r="H214" s="23"/>
      <c r="I214" s="31"/>
    </row>
    <row r="215" ht="18.75" customHeight="1">
      <c r="A215" s="30"/>
      <c r="B215" s="30"/>
      <c r="C215" s="30"/>
      <c r="D215" s="30"/>
      <c r="E215" s="30"/>
      <c r="F215" s="30"/>
      <c r="G215" s="30"/>
      <c r="H215" s="27" t="str">
        <f t="shared" ref="H215:H221" si="26">IF(AND(F215="", G215=""), "", SUM($F$12:F215)-SUM($G$12:G215))</f>
        <v/>
      </c>
      <c r="I215" s="30"/>
    </row>
    <row r="216" ht="18.75" customHeight="1">
      <c r="A216" s="31"/>
      <c r="B216" s="31"/>
      <c r="C216" s="31"/>
      <c r="D216" s="31"/>
      <c r="E216" s="31"/>
      <c r="F216" s="31"/>
      <c r="G216" s="31"/>
      <c r="H216" s="23" t="str">
        <f t="shared" si="26"/>
        <v/>
      </c>
      <c r="I216" s="31"/>
    </row>
    <row r="217" ht="18.75" customHeight="1">
      <c r="A217" s="30"/>
      <c r="B217" s="30"/>
      <c r="C217" s="30"/>
      <c r="D217" s="30"/>
      <c r="E217" s="30"/>
      <c r="F217" s="30"/>
      <c r="G217" s="30"/>
      <c r="H217" s="27" t="str">
        <f t="shared" si="26"/>
        <v/>
      </c>
      <c r="I217" s="30"/>
    </row>
    <row r="218" ht="18.75" customHeight="1">
      <c r="A218" s="31"/>
      <c r="B218" s="31"/>
      <c r="C218" s="31"/>
      <c r="D218" s="31"/>
      <c r="E218" s="31"/>
      <c r="F218" s="31"/>
      <c r="G218" s="31"/>
      <c r="H218" s="23" t="str">
        <f t="shared" si="26"/>
        <v/>
      </c>
      <c r="I218" s="31"/>
    </row>
    <row r="219" ht="18.75" customHeight="1">
      <c r="A219" s="30"/>
      <c r="B219" s="30"/>
      <c r="C219" s="30"/>
      <c r="D219" s="30"/>
      <c r="E219" s="30"/>
      <c r="F219" s="30"/>
      <c r="G219" s="30"/>
      <c r="H219" s="27" t="str">
        <f t="shared" si="26"/>
        <v/>
      </c>
      <c r="I219" s="30"/>
    </row>
    <row r="220" ht="18.75" customHeight="1">
      <c r="A220" s="31"/>
      <c r="B220" s="31"/>
      <c r="C220" s="31"/>
      <c r="D220" s="31"/>
      <c r="E220" s="31"/>
      <c r="F220" s="31"/>
      <c r="G220" s="31"/>
      <c r="H220" s="23" t="str">
        <f t="shared" si="26"/>
        <v/>
      </c>
      <c r="I220" s="31"/>
    </row>
    <row r="221" ht="18.75" customHeight="1">
      <c r="A221" s="30"/>
      <c r="B221" s="30"/>
      <c r="C221" s="30"/>
      <c r="D221" s="30"/>
      <c r="E221" s="30"/>
      <c r="F221" s="30"/>
      <c r="G221" s="30"/>
      <c r="H221" s="27" t="str">
        <f t="shared" si="26"/>
        <v/>
      </c>
      <c r="I221" s="30"/>
    </row>
    <row r="222" ht="18.75" customHeight="1">
      <c r="A222" s="31"/>
      <c r="B222" s="31"/>
      <c r="C222" s="31"/>
      <c r="D222" s="31"/>
      <c r="E222" s="31"/>
      <c r="F222" s="31"/>
      <c r="G222" s="31"/>
      <c r="H222" s="23"/>
      <c r="I222" s="31"/>
    </row>
    <row r="223" ht="18.75" customHeight="1">
      <c r="A223" s="30"/>
      <c r="B223" s="30"/>
      <c r="C223" s="30"/>
      <c r="D223" s="30"/>
      <c r="E223" s="30"/>
      <c r="F223" s="30"/>
      <c r="G223" s="30"/>
      <c r="H223" s="27" t="str">
        <f t="shared" ref="H223:H229" si="27">IF(AND(F223="", G223=""), "", SUM($F$12:F223)-SUM($G$12:G223))</f>
        <v/>
      </c>
      <c r="I223" s="30"/>
    </row>
    <row r="224" ht="18.75" customHeight="1">
      <c r="A224" s="31"/>
      <c r="B224" s="31"/>
      <c r="C224" s="31"/>
      <c r="D224" s="31"/>
      <c r="E224" s="31"/>
      <c r="F224" s="31"/>
      <c r="G224" s="31"/>
      <c r="H224" s="23" t="str">
        <f t="shared" si="27"/>
        <v/>
      </c>
      <c r="I224" s="31"/>
    </row>
    <row r="225" ht="18.75" customHeight="1">
      <c r="A225" s="30"/>
      <c r="B225" s="30"/>
      <c r="C225" s="30"/>
      <c r="D225" s="30"/>
      <c r="E225" s="30"/>
      <c r="F225" s="30"/>
      <c r="G225" s="30"/>
      <c r="H225" s="27" t="str">
        <f t="shared" si="27"/>
        <v/>
      </c>
      <c r="I225" s="30"/>
    </row>
    <row r="226" ht="18.75" customHeight="1">
      <c r="A226" s="31"/>
      <c r="B226" s="31"/>
      <c r="C226" s="31"/>
      <c r="D226" s="31"/>
      <c r="E226" s="31"/>
      <c r="F226" s="31"/>
      <c r="G226" s="31"/>
      <c r="H226" s="23" t="str">
        <f t="shared" si="27"/>
        <v/>
      </c>
      <c r="I226" s="31"/>
    </row>
    <row r="227" ht="18.75" customHeight="1">
      <c r="A227" s="30"/>
      <c r="B227" s="30"/>
      <c r="C227" s="30"/>
      <c r="D227" s="30"/>
      <c r="E227" s="30"/>
      <c r="F227" s="30"/>
      <c r="G227" s="30"/>
      <c r="H227" s="27" t="str">
        <f t="shared" si="27"/>
        <v/>
      </c>
      <c r="I227" s="30"/>
    </row>
    <row r="228" ht="18.75" customHeight="1">
      <c r="A228" s="31"/>
      <c r="B228" s="31"/>
      <c r="C228" s="31"/>
      <c r="D228" s="31"/>
      <c r="E228" s="31"/>
      <c r="F228" s="31"/>
      <c r="G228" s="31"/>
      <c r="H228" s="23" t="str">
        <f t="shared" si="27"/>
        <v/>
      </c>
      <c r="I228" s="31"/>
    </row>
    <row r="229" ht="18.75" customHeight="1">
      <c r="A229" s="30"/>
      <c r="B229" s="30"/>
      <c r="C229" s="30"/>
      <c r="D229" s="30"/>
      <c r="E229" s="30"/>
      <c r="F229" s="30"/>
      <c r="G229" s="30"/>
      <c r="H229" s="27" t="str">
        <f t="shared" si="27"/>
        <v/>
      </c>
      <c r="I229" s="30"/>
    </row>
    <row r="230" ht="18.75" customHeight="1">
      <c r="A230" s="31"/>
      <c r="B230" s="31"/>
      <c r="C230" s="31"/>
      <c r="D230" s="31"/>
      <c r="E230" s="31"/>
      <c r="F230" s="31"/>
      <c r="G230" s="31"/>
      <c r="H230" s="23"/>
      <c r="I230" s="31"/>
    </row>
    <row r="231" ht="18.75" customHeight="1">
      <c r="A231" s="30"/>
      <c r="B231" s="30"/>
      <c r="C231" s="30"/>
      <c r="D231" s="30"/>
      <c r="E231" s="30"/>
      <c r="F231" s="30"/>
      <c r="G231" s="30"/>
      <c r="H231" s="27" t="str">
        <f t="shared" ref="H231:H237" si="28">IF(AND(F231="", G231=""), "", SUM($F$12:F231)-SUM($G$12:G231))</f>
        <v/>
      </c>
      <c r="I231" s="30"/>
    </row>
    <row r="232" ht="18.75" customHeight="1">
      <c r="A232" s="31"/>
      <c r="B232" s="31"/>
      <c r="C232" s="31"/>
      <c r="D232" s="31"/>
      <c r="E232" s="31"/>
      <c r="F232" s="31"/>
      <c r="G232" s="31"/>
      <c r="H232" s="23" t="str">
        <f t="shared" si="28"/>
        <v/>
      </c>
      <c r="I232" s="31"/>
    </row>
    <row r="233" ht="18.75" customHeight="1">
      <c r="A233" s="30"/>
      <c r="B233" s="30"/>
      <c r="C233" s="30"/>
      <c r="D233" s="30"/>
      <c r="E233" s="30"/>
      <c r="F233" s="30"/>
      <c r="G233" s="30"/>
      <c r="H233" s="27" t="str">
        <f t="shared" si="28"/>
        <v/>
      </c>
      <c r="I233" s="30"/>
    </row>
    <row r="234" ht="18.75" customHeight="1">
      <c r="A234" s="31"/>
      <c r="B234" s="31"/>
      <c r="C234" s="31"/>
      <c r="D234" s="31"/>
      <c r="E234" s="31"/>
      <c r="F234" s="31"/>
      <c r="G234" s="31"/>
      <c r="H234" s="23" t="str">
        <f t="shared" si="28"/>
        <v/>
      </c>
      <c r="I234" s="31"/>
    </row>
    <row r="235" ht="18.75" customHeight="1">
      <c r="A235" s="30"/>
      <c r="B235" s="30"/>
      <c r="C235" s="30"/>
      <c r="D235" s="30"/>
      <c r="E235" s="30"/>
      <c r="F235" s="30"/>
      <c r="G235" s="30"/>
      <c r="H235" s="27" t="str">
        <f t="shared" si="28"/>
        <v/>
      </c>
      <c r="I235" s="30"/>
    </row>
    <row r="236" ht="18.75" customHeight="1">
      <c r="A236" s="31"/>
      <c r="B236" s="31"/>
      <c r="C236" s="31"/>
      <c r="D236" s="31"/>
      <c r="E236" s="31"/>
      <c r="F236" s="31"/>
      <c r="G236" s="31"/>
      <c r="H236" s="23" t="str">
        <f t="shared" si="28"/>
        <v/>
      </c>
      <c r="I236" s="31"/>
    </row>
    <row r="237" ht="18.75" customHeight="1">
      <c r="A237" s="30"/>
      <c r="B237" s="30"/>
      <c r="C237" s="30"/>
      <c r="D237" s="30"/>
      <c r="E237" s="30"/>
      <c r="F237" s="30"/>
      <c r="G237" s="30"/>
      <c r="H237" s="27" t="str">
        <f t="shared" si="28"/>
        <v/>
      </c>
      <c r="I237" s="30"/>
    </row>
    <row r="238" ht="18.75" customHeight="1">
      <c r="A238" s="31"/>
      <c r="B238" s="31"/>
      <c r="C238" s="31"/>
      <c r="D238" s="31"/>
      <c r="E238" s="31"/>
      <c r="F238" s="31"/>
      <c r="G238" s="31"/>
      <c r="H238" s="23"/>
      <c r="I238" s="31"/>
    </row>
    <row r="239" ht="18.75" customHeight="1">
      <c r="A239" s="30"/>
      <c r="B239" s="30"/>
      <c r="C239" s="30"/>
      <c r="D239" s="30"/>
      <c r="E239" s="30"/>
      <c r="F239" s="30"/>
      <c r="G239" s="30"/>
      <c r="H239" s="27" t="str">
        <f t="shared" ref="H239:H245" si="29">IF(AND(F239="", G239=""), "", SUM($F$12:F239)-SUM($G$12:G239))</f>
        <v/>
      </c>
      <c r="I239" s="30"/>
    </row>
    <row r="240" ht="18.75" customHeight="1">
      <c r="A240" s="31"/>
      <c r="B240" s="31"/>
      <c r="C240" s="31"/>
      <c r="D240" s="31"/>
      <c r="E240" s="31"/>
      <c r="F240" s="31"/>
      <c r="G240" s="31"/>
      <c r="H240" s="23" t="str">
        <f t="shared" si="29"/>
        <v/>
      </c>
      <c r="I240" s="31"/>
    </row>
    <row r="241" ht="18.75" customHeight="1">
      <c r="A241" s="30"/>
      <c r="B241" s="30"/>
      <c r="C241" s="30"/>
      <c r="D241" s="30"/>
      <c r="E241" s="30"/>
      <c r="F241" s="30"/>
      <c r="G241" s="30"/>
      <c r="H241" s="27" t="str">
        <f t="shared" si="29"/>
        <v/>
      </c>
      <c r="I241" s="30"/>
    </row>
    <row r="242" ht="18.75" customHeight="1">
      <c r="A242" s="31"/>
      <c r="B242" s="31"/>
      <c r="C242" s="31"/>
      <c r="D242" s="31"/>
      <c r="E242" s="31"/>
      <c r="F242" s="31"/>
      <c r="G242" s="31"/>
      <c r="H242" s="23" t="str">
        <f t="shared" si="29"/>
        <v/>
      </c>
      <c r="I242" s="31"/>
    </row>
    <row r="243" ht="18.75" customHeight="1">
      <c r="A243" s="30"/>
      <c r="B243" s="30"/>
      <c r="C243" s="30"/>
      <c r="D243" s="30"/>
      <c r="E243" s="30"/>
      <c r="F243" s="30"/>
      <c r="G243" s="30"/>
      <c r="H243" s="27" t="str">
        <f t="shared" si="29"/>
        <v/>
      </c>
      <c r="I243" s="30"/>
    </row>
    <row r="244" ht="18.75" customHeight="1">
      <c r="A244" s="31"/>
      <c r="B244" s="31"/>
      <c r="C244" s="31"/>
      <c r="D244" s="31"/>
      <c r="E244" s="31"/>
      <c r="F244" s="31"/>
      <c r="G244" s="31"/>
      <c r="H244" s="23" t="str">
        <f t="shared" si="29"/>
        <v/>
      </c>
      <c r="I244" s="31"/>
    </row>
    <row r="245" ht="18.75" customHeight="1">
      <c r="A245" s="30"/>
      <c r="B245" s="30"/>
      <c r="C245" s="30"/>
      <c r="D245" s="30"/>
      <c r="E245" s="30"/>
      <c r="F245" s="30"/>
      <c r="G245" s="30"/>
      <c r="H245" s="27" t="str">
        <f t="shared" si="29"/>
        <v/>
      </c>
      <c r="I245" s="30"/>
    </row>
    <row r="246" ht="18.75" customHeight="1">
      <c r="A246" s="31"/>
      <c r="B246" s="31"/>
      <c r="C246" s="31"/>
      <c r="D246" s="31"/>
      <c r="E246" s="31"/>
      <c r="F246" s="31"/>
      <c r="G246" s="31"/>
      <c r="H246" s="23"/>
      <c r="I246" s="31"/>
    </row>
    <row r="247" ht="18.75" customHeight="1">
      <c r="A247" s="30"/>
      <c r="B247" s="30"/>
      <c r="C247" s="30"/>
      <c r="D247" s="30"/>
      <c r="E247" s="30"/>
      <c r="F247" s="30"/>
      <c r="G247" s="30"/>
      <c r="H247" s="27" t="str">
        <f t="shared" ref="H247:H253" si="30">IF(AND(F247="", G247=""), "", SUM($F$12:F247)-SUM($G$12:G247))</f>
        <v/>
      </c>
      <c r="I247" s="30"/>
    </row>
    <row r="248" ht="18.75" customHeight="1">
      <c r="A248" s="31"/>
      <c r="B248" s="31"/>
      <c r="C248" s="31"/>
      <c r="D248" s="31"/>
      <c r="E248" s="31"/>
      <c r="F248" s="31"/>
      <c r="G248" s="31"/>
      <c r="H248" s="23" t="str">
        <f t="shared" si="30"/>
        <v/>
      </c>
      <c r="I248" s="31"/>
    </row>
    <row r="249" ht="18.75" customHeight="1">
      <c r="A249" s="30"/>
      <c r="B249" s="30"/>
      <c r="C249" s="30"/>
      <c r="D249" s="30"/>
      <c r="E249" s="30"/>
      <c r="F249" s="30"/>
      <c r="G249" s="30"/>
      <c r="H249" s="27" t="str">
        <f t="shared" si="30"/>
        <v/>
      </c>
      <c r="I249" s="30"/>
    </row>
    <row r="250" ht="18.75" customHeight="1">
      <c r="A250" s="31"/>
      <c r="B250" s="31"/>
      <c r="C250" s="31"/>
      <c r="D250" s="31"/>
      <c r="E250" s="31"/>
      <c r="F250" s="31"/>
      <c r="G250" s="31"/>
      <c r="H250" s="23" t="str">
        <f t="shared" si="30"/>
        <v/>
      </c>
      <c r="I250" s="31"/>
    </row>
    <row r="251" ht="18.75" customHeight="1">
      <c r="A251" s="30"/>
      <c r="B251" s="30"/>
      <c r="C251" s="30"/>
      <c r="D251" s="30"/>
      <c r="E251" s="30"/>
      <c r="F251" s="30"/>
      <c r="G251" s="30"/>
      <c r="H251" s="27" t="str">
        <f t="shared" si="30"/>
        <v/>
      </c>
      <c r="I251" s="30"/>
    </row>
    <row r="252" ht="18.75" customHeight="1">
      <c r="A252" s="31"/>
      <c r="B252" s="31"/>
      <c r="C252" s="31"/>
      <c r="D252" s="31"/>
      <c r="E252" s="31"/>
      <c r="F252" s="31"/>
      <c r="G252" s="31"/>
      <c r="H252" s="23" t="str">
        <f t="shared" si="30"/>
        <v/>
      </c>
      <c r="I252" s="31"/>
    </row>
    <row r="253" ht="18.75" customHeight="1">
      <c r="A253" s="30"/>
      <c r="B253" s="30"/>
      <c r="C253" s="30"/>
      <c r="D253" s="30"/>
      <c r="E253" s="30"/>
      <c r="F253" s="30"/>
      <c r="G253" s="30"/>
      <c r="H253" s="27" t="str">
        <f t="shared" si="30"/>
        <v/>
      </c>
      <c r="I253" s="30"/>
    </row>
    <row r="254" ht="18.75" customHeight="1">
      <c r="A254" s="31"/>
      <c r="B254" s="31"/>
      <c r="C254" s="31"/>
      <c r="D254" s="31"/>
      <c r="E254" s="31"/>
      <c r="F254" s="31"/>
      <c r="G254" s="31"/>
      <c r="H254" s="23"/>
      <c r="I254" s="31"/>
    </row>
    <row r="255" ht="18.75" customHeight="1">
      <c r="A255" s="30"/>
      <c r="B255" s="30"/>
      <c r="C255" s="30"/>
      <c r="D255" s="30"/>
      <c r="E255" s="30"/>
      <c r="F255" s="30"/>
      <c r="G255" s="30"/>
      <c r="H255" s="27" t="str">
        <f t="shared" ref="H255:H261" si="31">IF(AND(F255="", G255=""), "", SUM($F$12:F255)-SUM($G$12:G255))</f>
        <v/>
      </c>
      <c r="I255" s="30"/>
    </row>
    <row r="256" ht="18.75" customHeight="1">
      <c r="A256" s="31"/>
      <c r="B256" s="31"/>
      <c r="C256" s="31"/>
      <c r="D256" s="31"/>
      <c r="E256" s="31"/>
      <c r="F256" s="31"/>
      <c r="G256" s="31"/>
      <c r="H256" s="23" t="str">
        <f t="shared" si="31"/>
        <v/>
      </c>
      <c r="I256" s="31"/>
    </row>
    <row r="257" ht="18.75" customHeight="1">
      <c r="A257" s="30"/>
      <c r="B257" s="30"/>
      <c r="C257" s="30"/>
      <c r="D257" s="30"/>
      <c r="E257" s="30"/>
      <c r="F257" s="30"/>
      <c r="G257" s="30"/>
      <c r="H257" s="27" t="str">
        <f t="shared" si="31"/>
        <v/>
      </c>
      <c r="I257" s="30"/>
    </row>
    <row r="258" ht="18.75" customHeight="1">
      <c r="A258" s="31"/>
      <c r="B258" s="31"/>
      <c r="C258" s="31"/>
      <c r="D258" s="31"/>
      <c r="E258" s="31"/>
      <c r="F258" s="31"/>
      <c r="G258" s="31"/>
      <c r="H258" s="23" t="str">
        <f t="shared" si="31"/>
        <v/>
      </c>
      <c r="I258" s="31"/>
    </row>
    <row r="259" ht="18.75" customHeight="1">
      <c r="A259" s="30"/>
      <c r="B259" s="30"/>
      <c r="C259" s="30"/>
      <c r="D259" s="30"/>
      <c r="E259" s="30"/>
      <c r="F259" s="30"/>
      <c r="G259" s="30"/>
      <c r="H259" s="27" t="str">
        <f t="shared" si="31"/>
        <v/>
      </c>
      <c r="I259" s="30"/>
    </row>
    <row r="260" ht="18.75" customHeight="1">
      <c r="A260" s="31"/>
      <c r="B260" s="31"/>
      <c r="C260" s="31"/>
      <c r="D260" s="31"/>
      <c r="E260" s="31"/>
      <c r="F260" s="31"/>
      <c r="G260" s="31"/>
      <c r="H260" s="23" t="str">
        <f t="shared" si="31"/>
        <v/>
      </c>
      <c r="I260" s="31"/>
    </row>
    <row r="261" ht="18.75" customHeight="1">
      <c r="A261" s="30"/>
      <c r="B261" s="30"/>
      <c r="C261" s="30"/>
      <c r="D261" s="30"/>
      <c r="E261" s="30"/>
      <c r="F261" s="30"/>
      <c r="G261" s="30"/>
      <c r="H261" s="27" t="str">
        <f t="shared" si="31"/>
        <v/>
      </c>
      <c r="I261" s="30"/>
    </row>
    <row r="262" ht="18.75" customHeight="1">
      <c r="A262" s="31"/>
      <c r="B262" s="31"/>
      <c r="C262" s="31"/>
      <c r="D262" s="31"/>
      <c r="E262" s="31"/>
      <c r="F262" s="31"/>
      <c r="G262" s="31"/>
      <c r="H262" s="23"/>
      <c r="I262" s="31"/>
    </row>
    <row r="263" ht="18.75" customHeight="1">
      <c r="A263" s="30"/>
      <c r="B263" s="30"/>
      <c r="C263" s="30"/>
      <c r="D263" s="30"/>
      <c r="E263" s="30"/>
      <c r="F263" s="30"/>
      <c r="G263" s="30"/>
      <c r="H263" s="27" t="str">
        <f t="shared" ref="H263:H269" si="32">IF(AND(F263="", G263=""), "", SUM($F$12:F263)-SUM($G$12:G263))</f>
        <v/>
      </c>
      <c r="I263" s="30"/>
    </row>
    <row r="264" ht="18.75" customHeight="1">
      <c r="A264" s="31"/>
      <c r="B264" s="31"/>
      <c r="C264" s="31"/>
      <c r="D264" s="31"/>
      <c r="E264" s="31"/>
      <c r="F264" s="31"/>
      <c r="G264" s="31"/>
      <c r="H264" s="23" t="str">
        <f t="shared" si="32"/>
        <v/>
      </c>
      <c r="I264" s="31"/>
    </row>
    <row r="265" ht="18.75" customHeight="1">
      <c r="A265" s="30"/>
      <c r="B265" s="30"/>
      <c r="C265" s="30"/>
      <c r="D265" s="30"/>
      <c r="E265" s="30"/>
      <c r="F265" s="30"/>
      <c r="G265" s="30"/>
      <c r="H265" s="27" t="str">
        <f t="shared" si="32"/>
        <v/>
      </c>
      <c r="I265" s="30"/>
    </row>
    <row r="266" ht="18.75" customHeight="1">
      <c r="A266" s="31"/>
      <c r="B266" s="31"/>
      <c r="C266" s="31"/>
      <c r="D266" s="31"/>
      <c r="E266" s="31"/>
      <c r="F266" s="31"/>
      <c r="G266" s="31"/>
      <c r="H266" s="23" t="str">
        <f t="shared" si="32"/>
        <v/>
      </c>
      <c r="I266" s="31"/>
    </row>
    <row r="267" ht="18.75" customHeight="1">
      <c r="A267" s="30"/>
      <c r="B267" s="30"/>
      <c r="C267" s="30"/>
      <c r="D267" s="30"/>
      <c r="E267" s="30"/>
      <c r="F267" s="30"/>
      <c r="G267" s="30"/>
      <c r="H267" s="27" t="str">
        <f t="shared" si="32"/>
        <v/>
      </c>
      <c r="I267" s="30"/>
    </row>
    <row r="268" ht="18.75" customHeight="1">
      <c r="A268" s="31"/>
      <c r="B268" s="31"/>
      <c r="C268" s="31"/>
      <c r="D268" s="31"/>
      <c r="E268" s="31"/>
      <c r="F268" s="31"/>
      <c r="G268" s="31"/>
      <c r="H268" s="23" t="str">
        <f t="shared" si="32"/>
        <v/>
      </c>
      <c r="I268" s="31"/>
    </row>
    <row r="269" ht="18.75" customHeight="1">
      <c r="A269" s="30"/>
      <c r="B269" s="30"/>
      <c r="C269" s="30"/>
      <c r="D269" s="30"/>
      <c r="E269" s="30"/>
      <c r="F269" s="30"/>
      <c r="G269" s="30"/>
      <c r="H269" s="27" t="str">
        <f t="shared" si="32"/>
        <v/>
      </c>
      <c r="I269" s="30"/>
    </row>
    <row r="270" ht="18.75" customHeight="1">
      <c r="A270" s="31"/>
      <c r="B270" s="31"/>
      <c r="C270" s="31"/>
      <c r="D270" s="31"/>
      <c r="E270" s="31"/>
      <c r="F270" s="31"/>
      <c r="G270" s="31"/>
      <c r="H270" s="23"/>
      <c r="I270" s="31"/>
    </row>
    <row r="271" ht="18.75" customHeight="1">
      <c r="A271" s="30"/>
      <c r="B271" s="30"/>
      <c r="C271" s="30"/>
      <c r="D271" s="30"/>
      <c r="E271" s="30"/>
      <c r="F271" s="30"/>
      <c r="G271" s="30"/>
      <c r="H271" s="27" t="str">
        <f t="shared" ref="H271:H277" si="33">IF(AND(F271="", G271=""), "", SUM($F$12:F271)-SUM($G$12:G271))</f>
        <v/>
      </c>
      <c r="I271" s="30"/>
    </row>
    <row r="272" ht="18.75" customHeight="1">
      <c r="A272" s="31"/>
      <c r="B272" s="31"/>
      <c r="C272" s="31"/>
      <c r="D272" s="31"/>
      <c r="E272" s="31"/>
      <c r="F272" s="31"/>
      <c r="G272" s="31"/>
      <c r="H272" s="23" t="str">
        <f t="shared" si="33"/>
        <v/>
      </c>
      <c r="I272" s="31"/>
    </row>
    <row r="273" ht="18.75" customHeight="1">
      <c r="A273" s="30"/>
      <c r="B273" s="30"/>
      <c r="C273" s="30"/>
      <c r="D273" s="30"/>
      <c r="E273" s="30"/>
      <c r="F273" s="30"/>
      <c r="G273" s="30"/>
      <c r="H273" s="27" t="str">
        <f t="shared" si="33"/>
        <v/>
      </c>
      <c r="I273" s="30"/>
    </row>
    <row r="274" ht="18.75" customHeight="1">
      <c r="A274" s="31"/>
      <c r="B274" s="31"/>
      <c r="C274" s="31"/>
      <c r="D274" s="31"/>
      <c r="E274" s="31"/>
      <c r="F274" s="31"/>
      <c r="G274" s="31"/>
      <c r="H274" s="23" t="str">
        <f t="shared" si="33"/>
        <v/>
      </c>
      <c r="I274" s="31"/>
    </row>
    <row r="275" ht="18.75" customHeight="1">
      <c r="A275" s="30"/>
      <c r="B275" s="30"/>
      <c r="C275" s="30"/>
      <c r="D275" s="30"/>
      <c r="E275" s="30"/>
      <c r="F275" s="30"/>
      <c r="G275" s="30"/>
      <c r="H275" s="27" t="str">
        <f t="shared" si="33"/>
        <v/>
      </c>
      <c r="I275" s="30"/>
    </row>
    <row r="276" ht="18.75" customHeight="1">
      <c r="A276" s="31"/>
      <c r="B276" s="31"/>
      <c r="C276" s="31"/>
      <c r="D276" s="31"/>
      <c r="E276" s="31"/>
      <c r="F276" s="31"/>
      <c r="G276" s="31"/>
      <c r="H276" s="23" t="str">
        <f t="shared" si="33"/>
        <v/>
      </c>
      <c r="I276" s="31"/>
    </row>
    <row r="277" ht="18.75" customHeight="1">
      <c r="A277" s="30"/>
      <c r="B277" s="30"/>
      <c r="C277" s="30"/>
      <c r="D277" s="30"/>
      <c r="E277" s="30"/>
      <c r="F277" s="30"/>
      <c r="G277" s="30"/>
      <c r="H277" s="27" t="str">
        <f t="shared" si="33"/>
        <v/>
      </c>
      <c r="I277" s="30"/>
    </row>
    <row r="278" ht="18.75" customHeight="1">
      <c r="A278" s="31"/>
      <c r="B278" s="31"/>
      <c r="C278" s="31"/>
      <c r="D278" s="31"/>
      <c r="E278" s="31"/>
      <c r="F278" s="31"/>
      <c r="G278" s="31"/>
      <c r="H278" s="23"/>
      <c r="I278" s="31"/>
    </row>
    <row r="279" ht="18.75" customHeight="1">
      <c r="A279" s="30"/>
      <c r="B279" s="30"/>
      <c r="C279" s="30"/>
      <c r="D279" s="30"/>
      <c r="E279" s="30"/>
      <c r="F279" s="30"/>
      <c r="G279" s="30"/>
      <c r="H279" s="27" t="str">
        <f t="shared" ref="H279:H285" si="34">IF(AND(F279="", G279=""), "", SUM($F$12:F279)-SUM($G$12:G279))</f>
        <v/>
      </c>
      <c r="I279" s="30"/>
    </row>
    <row r="280" ht="18.75" customHeight="1">
      <c r="A280" s="31"/>
      <c r="B280" s="31"/>
      <c r="C280" s="31"/>
      <c r="D280" s="31"/>
      <c r="E280" s="31"/>
      <c r="F280" s="31"/>
      <c r="G280" s="31"/>
      <c r="H280" s="23" t="str">
        <f t="shared" si="34"/>
        <v/>
      </c>
      <c r="I280" s="31"/>
    </row>
    <row r="281" ht="18.75" customHeight="1">
      <c r="A281" s="30"/>
      <c r="B281" s="30"/>
      <c r="C281" s="30"/>
      <c r="D281" s="30"/>
      <c r="E281" s="30"/>
      <c r="F281" s="30"/>
      <c r="G281" s="30"/>
      <c r="H281" s="27" t="str">
        <f t="shared" si="34"/>
        <v/>
      </c>
      <c r="I281" s="30"/>
    </row>
    <row r="282" ht="18.75" customHeight="1">
      <c r="A282" s="31"/>
      <c r="B282" s="31"/>
      <c r="C282" s="31"/>
      <c r="D282" s="31"/>
      <c r="E282" s="31"/>
      <c r="F282" s="31"/>
      <c r="G282" s="31"/>
      <c r="H282" s="23" t="str">
        <f t="shared" si="34"/>
        <v/>
      </c>
      <c r="I282" s="31"/>
    </row>
    <row r="283" ht="18.75" customHeight="1">
      <c r="A283" s="30"/>
      <c r="B283" s="30"/>
      <c r="C283" s="30"/>
      <c r="D283" s="30"/>
      <c r="E283" s="30"/>
      <c r="F283" s="30"/>
      <c r="G283" s="30"/>
      <c r="H283" s="27" t="str">
        <f t="shared" si="34"/>
        <v/>
      </c>
      <c r="I283" s="30"/>
    </row>
    <row r="284" ht="18.75" customHeight="1">
      <c r="A284" s="31"/>
      <c r="B284" s="31"/>
      <c r="C284" s="31"/>
      <c r="D284" s="31"/>
      <c r="E284" s="31"/>
      <c r="F284" s="31"/>
      <c r="G284" s="31"/>
      <c r="H284" s="23" t="str">
        <f t="shared" si="34"/>
        <v/>
      </c>
      <c r="I284" s="31"/>
    </row>
    <row r="285" ht="18.75" customHeight="1">
      <c r="A285" s="30"/>
      <c r="B285" s="30"/>
      <c r="C285" s="30"/>
      <c r="D285" s="30"/>
      <c r="E285" s="30"/>
      <c r="F285" s="30"/>
      <c r="G285" s="30"/>
      <c r="H285" s="27" t="str">
        <f t="shared" si="34"/>
        <v/>
      </c>
      <c r="I285" s="30"/>
    </row>
    <row r="286" ht="18.75" customHeight="1">
      <c r="A286" s="31"/>
      <c r="B286" s="31"/>
      <c r="C286" s="31"/>
      <c r="D286" s="31"/>
      <c r="E286" s="31"/>
      <c r="F286" s="31"/>
      <c r="G286" s="31"/>
      <c r="H286" s="23"/>
      <c r="I286" s="31"/>
    </row>
    <row r="287" ht="18.75" customHeight="1">
      <c r="A287" s="30"/>
      <c r="B287" s="30"/>
      <c r="C287" s="30"/>
      <c r="D287" s="30"/>
      <c r="E287" s="30"/>
      <c r="F287" s="30"/>
      <c r="G287" s="30"/>
      <c r="H287" s="27" t="str">
        <f t="shared" ref="H287:H293" si="35">IF(AND(F287="", G287=""), "", SUM($F$12:F287)-SUM($G$12:G287))</f>
        <v/>
      </c>
      <c r="I287" s="30"/>
    </row>
    <row r="288" ht="18.75" customHeight="1">
      <c r="A288" s="31"/>
      <c r="B288" s="31"/>
      <c r="C288" s="31"/>
      <c r="D288" s="31"/>
      <c r="E288" s="31"/>
      <c r="F288" s="31"/>
      <c r="G288" s="31"/>
      <c r="H288" s="23" t="str">
        <f t="shared" si="35"/>
        <v/>
      </c>
      <c r="I288" s="31"/>
    </row>
    <row r="289" ht="18.75" customHeight="1">
      <c r="A289" s="30"/>
      <c r="B289" s="30"/>
      <c r="C289" s="30"/>
      <c r="D289" s="30"/>
      <c r="E289" s="30"/>
      <c r="F289" s="30"/>
      <c r="G289" s="30"/>
      <c r="H289" s="27" t="str">
        <f t="shared" si="35"/>
        <v/>
      </c>
      <c r="I289" s="30"/>
    </row>
    <row r="290" ht="18.75" customHeight="1">
      <c r="A290" s="31"/>
      <c r="B290" s="31"/>
      <c r="C290" s="31"/>
      <c r="D290" s="31"/>
      <c r="E290" s="31"/>
      <c r="F290" s="31"/>
      <c r="G290" s="31"/>
      <c r="H290" s="23" t="str">
        <f t="shared" si="35"/>
        <v/>
      </c>
      <c r="I290" s="31"/>
    </row>
    <row r="291" ht="18.75" customHeight="1">
      <c r="A291" s="30"/>
      <c r="B291" s="30"/>
      <c r="C291" s="30"/>
      <c r="D291" s="30"/>
      <c r="E291" s="30"/>
      <c r="F291" s="30"/>
      <c r="G291" s="30"/>
      <c r="H291" s="27" t="str">
        <f t="shared" si="35"/>
        <v/>
      </c>
      <c r="I291" s="30"/>
    </row>
    <row r="292" ht="18.75" customHeight="1">
      <c r="A292" s="31"/>
      <c r="B292" s="31"/>
      <c r="C292" s="31"/>
      <c r="D292" s="31"/>
      <c r="E292" s="31"/>
      <c r="F292" s="31"/>
      <c r="G292" s="31"/>
      <c r="H292" s="23" t="str">
        <f t="shared" si="35"/>
        <v/>
      </c>
      <c r="I292" s="31"/>
    </row>
    <row r="293" ht="18.75" customHeight="1">
      <c r="A293" s="30"/>
      <c r="B293" s="30"/>
      <c r="C293" s="30"/>
      <c r="D293" s="30"/>
      <c r="E293" s="30"/>
      <c r="F293" s="30"/>
      <c r="G293" s="30"/>
      <c r="H293" s="27" t="str">
        <f t="shared" si="35"/>
        <v/>
      </c>
      <c r="I293" s="30"/>
    </row>
    <row r="294" ht="18.75" customHeight="1">
      <c r="A294" s="31"/>
      <c r="B294" s="31"/>
      <c r="C294" s="31"/>
      <c r="D294" s="31"/>
      <c r="E294" s="31"/>
      <c r="F294" s="31"/>
      <c r="G294" s="31"/>
      <c r="H294" s="23"/>
      <c r="I294" s="31"/>
    </row>
    <row r="295" ht="18.75" customHeight="1">
      <c r="A295" s="30"/>
      <c r="B295" s="30"/>
      <c r="C295" s="30"/>
      <c r="D295" s="30"/>
      <c r="E295" s="30"/>
      <c r="F295" s="30"/>
      <c r="G295" s="30"/>
      <c r="H295" s="27" t="str">
        <f t="shared" ref="H295:H301" si="36">IF(AND(F295="", G295=""), "", SUM($F$12:F295)-SUM($G$12:G295))</f>
        <v/>
      </c>
      <c r="I295" s="30"/>
    </row>
    <row r="296" ht="18.75" customHeight="1">
      <c r="A296" s="31"/>
      <c r="B296" s="31"/>
      <c r="C296" s="31"/>
      <c r="D296" s="31"/>
      <c r="E296" s="31"/>
      <c r="F296" s="31"/>
      <c r="G296" s="31"/>
      <c r="H296" s="23" t="str">
        <f t="shared" si="36"/>
        <v/>
      </c>
      <c r="I296" s="31"/>
    </row>
    <row r="297" ht="18.75" customHeight="1">
      <c r="A297" s="30"/>
      <c r="B297" s="30"/>
      <c r="C297" s="30"/>
      <c r="D297" s="30"/>
      <c r="E297" s="30"/>
      <c r="F297" s="30"/>
      <c r="G297" s="30"/>
      <c r="H297" s="27" t="str">
        <f t="shared" si="36"/>
        <v/>
      </c>
      <c r="I297" s="30"/>
    </row>
    <row r="298" ht="18.75" customHeight="1">
      <c r="A298" s="31"/>
      <c r="B298" s="31"/>
      <c r="C298" s="31"/>
      <c r="D298" s="31"/>
      <c r="E298" s="31"/>
      <c r="F298" s="31"/>
      <c r="G298" s="31"/>
      <c r="H298" s="23" t="str">
        <f t="shared" si="36"/>
        <v/>
      </c>
      <c r="I298" s="31"/>
    </row>
    <row r="299" ht="18.75" customHeight="1">
      <c r="A299" s="30"/>
      <c r="B299" s="30"/>
      <c r="C299" s="30"/>
      <c r="D299" s="30"/>
      <c r="E299" s="30"/>
      <c r="F299" s="30"/>
      <c r="G299" s="30"/>
      <c r="H299" s="27" t="str">
        <f t="shared" si="36"/>
        <v/>
      </c>
      <c r="I299" s="30"/>
    </row>
    <row r="300" ht="18.75" customHeight="1">
      <c r="A300" s="31"/>
      <c r="B300" s="31"/>
      <c r="C300" s="31"/>
      <c r="D300" s="31"/>
      <c r="E300" s="31"/>
      <c r="F300" s="31"/>
      <c r="G300" s="31"/>
      <c r="H300" s="23" t="str">
        <f t="shared" si="36"/>
        <v/>
      </c>
      <c r="I300" s="31"/>
    </row>
    <row r="301" ht="18.75" customHeight="1">
      <c r="A301" s="30"/>
      <c r="B301" s="30"/>
      <c r="C301" s="30"/>
      <c r="D301" s="30"/>
      <c r="E301" s="30"/>
      <c r="F301" s="30"/>
      <c r="G301" s="30"/>
      <c r="H301" s="27" t="str">
        <f t="shared" si="36"/>
        <v/>
      </c>
      <c r="I301" s="30"/>
    </row>
    <row r="302" ht="18.75" customHeight="1">
      <c r="A302" s="31"/>
      <c r="B302" s="31"/>
      <c r="C302" s="31"/>
      <c r="D302" s="31"/>
      <c r="E302" s="31"/>
      <c r="F302" s="31"/>
      <c r="G302" s="31"/>
      <c r="H302" s="23"/>
      <c r="I302" s="31"/>
    </row>
    <row r="303" ht="18.75" customHeight="1">
      <c r="A303" s="30"/>
      <c r="B303" s="30"/>
      <c r="C303" s="30"/>
      <c r="D303" s="30"/>
      <c r="E303" s="30"/>
      <c r="F303" s="30"/>
      <c r="G303" s="30"/>
      <c r="H303" s="27" t="str">
        <f t="shared" ref="H303:H309" si="37">IF(AND(F303="", G303=""), "", SUM($F$12:F303)-SUM($G$12:G303))</f>
        <v/>
      </c>
      <c r="I303" s="30"/>
    </row>
    <row r="304" ht="18.75" customHeight="1">
      <c r="A304" s="31"/>
      <c r="B304" s="31"/>
      <c r="C304" s="31"/>
      <c r="D304" s="31"/>
      <c r="E304" s="31"/>
      <c r="F304" s="31"/>
      <c r="G304" s="31"/>
      <c r="H304" s="23" t="str">
        <f t="shared" si="37"/>
        <v/>
      </c>
      <c r="I304" s="31"/>
    </row>
    <row r="305" ht="18.75" customHeight="1">
      <c r="A305" s="30"/>
      <c r="B305" s="30"/>
      <c r="C305" s="30"/>
      <c r="D305" s="30"/>
      <c r="E305" s="30"/>
      <c r="F305" s="30"/>
      <c r="G305" s="30"/>
      <c r="H305" s="27" t="str">
        <f t="shared" si="37"/>
        <v/>
      </c>
      <c r="I305" s="30"/>
    </row>
    <row r="306" ht="18.75" customHeight="1">
      <c r="A306" s="31"/>
      <c r="B306" s="31"/>
      <c r="C306" s="31"/>
      <c r="D306" s="31"/>
      <c r="E306" s="31"/>
      <c r="F306" s="31"/>
      <c r="G306" s="31"/>
      <c r="H306" s="23" t="str">
        <f t="shared" si="37"/>
        <v/>
      </c>
      <c r="I306" s="31"/>
    </row>
    <row r="307" ht="18.75" customHeight="1">
      <c r="A307" s="30"/>
      <c r="B307" s="30"/>
      <c r="C307" s="30"/>
      <c r="D307" s="30"/>
      <c r="E307" s="30"/>
      <c r="F307" s="30"/>
      <c r="G307" s="30"/>
      <c r="H307" s="27" t="str">
        <f t="shared" si="37"/>
        <v/>
      </c>
      <c r="I307" s="30"/>
    </row>
    <row r="308" ht="18.75" customHeight="1">
      <c r="A308" s="31"/>
      <c r="B308" s="31"/>
      <c r="C308" s="31"/>
      <c r="D308" s="31"/>
      <c r="E308" s="31"/>
      <c r="F308" s="31"/>
      <c r="G308" s="31"/>
      <c r="H308" s="23" t="str">
        <f t="shared" si="37"/>
        <v/>
      </c>
      <c r="I308" s="31"/>
    </row>
    <row r="309" ht="18.75" customHeight="1">
      <c r="A309" s="30"/>
      <c r="B309" s="30"/>
      <c r="C309" s="30"/>
      <c r="D309" s="30"/>
      <c r="E309" s="30"/>
      <c r="F309" s="30"/>
      <c r="G309" s="30"/>
      <c r="H309" s="27" t="str">
        <f t="shared" si="37"/>
        <v/>
      </c>
      <c r="I309" s="30"/>
    </row>
    <row r="310" ht="18.75" customHeight="1">
      <c r="A310" s="31"/>
      <c r="B310" s="31"/>
      <c r="C310" s="31"/>
      <c r="D310" s="31"/>
      <c r="E310" s="31"/>
      <c r="F310" s="31"/>
      <c r="G310" s="31"/>
      <c r="H310" s="23"/>
      <c r="I310" s="31"/>
    </row>
    <row r="311" ht="18.75" customHeight="1">
      <c r="A311" s="30"/>
      <c r="B311" s="30"/>
      <c r="C311" s="30"/>
      <c r="D311" s="30"/>
      <c r="E311" s="30"/>
      <c r="F311" s="30"/>
      <c r="G311" s="30"/>
      <c r="H311" s="27" t="str">
        <f t="shared" ref="H311:H317" si="38">IF(AND(F311="", G311=""), "", SUM($F$12:F311)-SUM($G$12:G311))</f>
        <v/>
      </c>
      <c r="I311" s="30"/>
    </row>
    <row r="312" ht="18.75" customHeight="1">
      <c r="A312" s="31"/>
      <c r="B312" s="31"/>
      <c r="C312" s="31"/>
      <c r="D312" s="31"/>
      <c r="E312" s="31"/>
      <c r="F312" s="31"/>
      <c r="G312" s="31"/>
      <c r="H312" s="23" t="str">
        <f t="shared" si="38"/>
        <v/>
      </c>
      <c r="I312" s="31"/>
    </row>
    <row r="313" ht="18.75" customHeight="1">
      <c r="A313" s="30"/>
      <c r="B313" s="30"/>
      <c r="C313" s="30"/>
      <c r="D313" s="30"/>
      <c r="E313" s="30"/>
      <c r="F313" s="30"/>
      <c r="G313" s="30"/>
      <c r="H313" s="27" t="str">
        <f t="shared" si="38"/>
        <v/>
      </c>
      <c r="I313" s="30"/>
    </row>
    <row r="314" ht="18.75" customHeight="1">
      <c r="A314" s="31"/>
      <c r="B314" s="31"/>
      <c r="C314" s="31"/>
      <c r="D314" s="31"/>
      <c r="E314" s="31"/>
      <c r="F314" s="31"/>
      <c r="G314" s="31"/>
      <c r="H314" s="23" t="str">
        <f t="shared" si="38"/>
        <v/>
      </c>
      <c r="I314" s="31"/>
    </row>
    <row r="315" ht="18.75" customHeight="1">
      <c r="A315" s="30"/>
      <c r="B315" s="30"/>
      <c r="C315" s="30"/>
      <c r="D315" s="30"/>
      <c r="E315" s="30"/>
      <c r="F315" s="30"/>
      <c r="G315" s="30"/>
      <c r="H315" s="27" t="str">
        <f t="shared" si="38"/>
        <v/>
      </c>
      <c r="I315" s="30"/>
    </row>
    <row r="316" ht="18.75" customHeight="1">
      <c r="A316" s="31"/>
      <c r="B316" s="31"/>
      <c r="C316" s="31"/>
      <c r="D316" s="31"/>
      <c r="E316" s="31"/>
      <c r="F316" s="31"/>
      <c r="G316" s="31"/>
      <c r="H316" s="23" t="str">
        <f t="shared" si="38"/>
        <v/>
      </c>
      <c r="I316" s="31"/>
    </row>
    <row r="317" ht="18.75" customHeight="1">
      <c r="A317" s="30"/>
      <c r="B317" s="30"/>
      <c r="C317" s="30"/>
      <c r="D317" s="30"/>
      <c r="E317" s="30"/>
      <c r="F317" s="30"/>
      <c r="G317" s="30"/>
      <c r="H317" s="27" t="str">
        <f t="shared" si="38"/>
        <v/>
      </c>
      <c r="I317" s="30"/>
    </row>
    <row r="318" ht="18.75" customHeight="1">
      <c r="A318" s="31"/>
      <c r="B318" s="31"/>
      <c r="C318" s="31"/>
      <c r="D318" s="31"/>
      <c r="E318" s="31"/>
      <c r="F318" s="31"/>
      <c r="G318" s="31"/>
      <c r="H318" s="23"/>
      <c r="I318" s="31"/>
    </row>
    <row r="319" ht="18.75" customHeight="1">
      <c r="A319" s="30"/>
      <c r="B319" s="30"/>
      <c r="C319" s="30"/>
      <c r="D319" s="30"/>
      <c r="E319" s="30"/>
      <c r="F319" s="30"/>
      <c r="G319" s="30"/>
      <c r="H319" s="27" t="str">
        <f t="shared" ref="H319:H325" si="39">IF(AND(F319="", G319=""), "", SUM($F$12:F319)-SUM($G$12:G319))</f>
        <v/>
      </c>
      <c r="I319" s="30"/>
    </row>
    <row r="320" ht="18.75" customHeight="1">
      <c r="A320" s="31"/>
      <c r="B320" s="31"/>
      <c r="C320" s="31"/>
      <c r="D320" s="31"/>
      <c r="E320" s="31"/>
      <c r="F320" s="31"/>
      <c r="G320" s="31"/>
      <c r="H320" s="23" t="str">
        <f t="shared" si="39"/>
        <v/>
      </c>
      <c r="I320" s="31"/>
    </row>
    <row r="321" ht="18.75" customHeight="1">
      <c r="A321" s="30"/>
      <c r="B321" s="30"/>
      <c r="C321" s="30"/>
      <c r="D321" s="30"/>
      <c r="E321" s="30"/>
      <c r="F321" s="30"/>
      <c r="G321" s="30"/>
      <c r="H321" s="27" t="str">
        <f t="shared" si="39"/>
        <v/>
      </c>
      <c r="I321" s="30"/>
    </row>
    <row r="322" ht="18.75" customHeight="1">
      <c r="A322" s="31"/>
      <c r="B322" s="31"/>
      <c r="C322" s="31"/>
      <c r="D322" s="31"/>
      <c r="E322" s="31"/>
      <c r="F322" s="31"/>
      <c r="G322" s="31"/>
      <c r="H322" s="23" t="str">
        <f t="shared" si="39"/>
        <v/>
      </c>
      <c r="I322" s="31"/>
    </row>
    <row r="323" ht="18.75" customHeight="1">
      <c r="A323" s="30"/>
      <c r="B323" s="30"/>
      <c r="C323" s="30"/>
      <c r="D323" s="30"/>
      <c r="E323" s="30"/>
      <c r="F323" s="30"/>
      <c r="G323" s="30"/>
      <c r="H323" s="27" t="str">
        <f t="shared" si="39"/>
        <v/>
      </c>
      <c r="I323" s="30"/>
    </row>
    <row r="324" ht="18.75" customHeight="1">
      <c r="A324" s="31"/>
      <c r="B324" s="31"/>
      <c r="C324" s="31"/>
      <c r="D324" s="31"/>
      <c r="E324" s="31"/>
      <c r="F324" s="31"/>
      <c r="G324" s="31"/>
      <c r="H324" s="23" t="str">
        <f t="shared" si="39"/>
        <v/>
      </c>
      <c r="I324" s="31"/>
    </row>
    <row r="325" ht="18.75" customHeight="1">
      <c r="A325" s="30"/>
      <c r="B325" s="30"/>
      <c r="C325" s="30"/>
      <c r="D325" s="30"/>
      <c r="E325" s="30"/>
      <c r="F325" s="30"/>
      <c r="G325" s="30"/>
      <c r="H325" s="27" t="str">
        <f t="shared" si="39"/>
        <v/>
      </c>
      <c r="I325" s="30"/>
    </row>
    <row r="326" ht="18.75" customHeight="1">
      <c r="A326" s="31"/>
      <c r="B326" s="31"/>
      <c r="C326" s="31"/>
      <c r="D326" s="31"/>
      <c r="E326" s="31"/>
      <c r="F326" s="31"/>
      <c r="G326" s="31"/>
      <c r="H326" s="23"/>
      <c r="I326" s="31"/>
    </row>
    <row r="327" ht="18.75" customHeight="1">
      <c r="A327" s="30"/>
      <c r="B327" s="30"/>
      <c r="C327" s="30"/>
      <c r="D327" s="30"/>
      <c r="E327" s="30"/>
      <c r="F327" s="30"/>
      <c r="G327" s="30"/>
      <c r="H327" s="27" t="str">
        <f t="shared" ref="H327:H344" si="40">IF(AND(F327="", G327=""), "", SUM($F$12:F327)-SUM($G$12:G327))</f>
        <v/>
      </c>
      <c r="I327" s="30"/>
    </row>
    <row r="328" ht="18.75" customHeight="1">
      <c r="A328" s="31"/>
      <c r="B328" s="31"/>
      <c r="C328" s="31"/>
      <c r="D328" s="31"/>
      <c r="E328" s="31"/>
      <c r="F328" s="31"/>
      <c r="G328" s="31"/>
      <c r="H328" s="23" t="str">
        <f t="shared" si="40"/>
        <v/>
      </c>
      <c r="I328" s="31"/>
    </row>
    <row r="329" ht="18.75" customHeight="1">
      <c r="A329" s="30"/>
      <c r="B329" s="30"/>
      <c r="C329" s="30"/>
      <c r="D329" s="30"/>
      <c r="E329" s="30"/>
      <c r="F329" s="30"/>
      <c r="G329" s="30"/>
      <c r="H329" s="27" t="str">
        <f t="shared" si="40"/>
        <v/>
      </c>
      <c r="I329" s="30"/>
    </row>
    <row r="330" ht="18.75" customHeight="1">
      <c r="A330" s="31"/>
      <c r="B330" s="31"/>
      <c r="C330" s="31"/>
      <c r="D330" s="31"/>
      <c r="E330" s="31"/>
      <c r="F330" s="31"/>
      <c r="G330" s="31"/>
      <c r="H330" s="23" t="str">
        <f t="shared" si="40"/>
        <v/>
      </c>
      <c r="I330" s="31"/>
    </row>
    <row r="331" ht="18.75" customHeight="1">
      <c r="A331" s="30"/>
      <c r="B331" s="30"/>
      <c r="C331" s="30"/>
      <c r="D331" s="30"/>
      <c r="E331" s="30"/>
      <c r="F331" s="30"/>
      <c r="G331" s="30"/>
      <c r="H331" s="27" t="str">
        <f t="shared" si="40"/>
        <v/>
      </c>
      <c r="I331" s="30"/>
    </row>
    <row r="332" ht="18.75" customHeight="1">
      <c r="A332" s="31"/>
      <c r="B332" s="31"/>
      <c r="C332" s="31"/>
      <c r="D332" s="31"/>
      <c r="E332" s="31"/>
      <c r="F332" s="31"/>
      <c r="G332" s="31"/>
      <c r="H332" s="23" t="str">
        <f t="shared" si="40"/>
        <v/>
      </c>
      <c r="I332" s="31"/>
    </row>
    <row r="333" ht="18.75" customHeight="1">
      <c r="A333" s="30"/>
      <c r="B333" s="30"/>
      <c r="C333" s="30"/>
      <c r="D333" s="30"/>
      <c r="E333" s="30"/>
      <c r="F333" s="30"/>
      <c r="G333" s="30"/>
      <c r="H333" s="27" t="str">
        <f t="shared" si="40"/>
        <v/>
      </c>
      <c r="I333" s="30"/>
    </row>
    <row r="334" ht="18.75" customHeight="1">
      <c r="A334" s="31"/>
      <c r="B334" s="31"/>
      <c r="C334" s="31"/>
      <c r="D334" s="31"/>
      <c r="E334" s="31"/>
      <c r="F334" s="31"/>
      <c r="G334" s="31"/>
      <c r="H334" s="23" t="str">
        <f t="shared" si="40"/>
        <v/>
      </c>
      <c r="I334" s="31"/>
    </row>
    <row r="335" ht="18.75" customHeight="1">
      <c r="A335" s="30"/>
      <c r="B335" s="30"/>
      <c r="C335" s="30"/>
      <c r="D335" s="30"/>
      <c r="E335" s="30"/>
      <c r="F335" s="30"/>
      <c r="G335" s="30"/>
      <c r="H335" s="27" t="str">
        <f t="shared" si="40"/>
        <v/>
      </c>
      <c r="I335" s="30"/>
    </row>
    <row r="336" ht="18.75" customHeight="1">
      <c r="A336" s="31"/>
      <c r="B336" s="31"/>
      <c r="C336" s="31"/>
      <c r="D336" s="31"/>
      <c r="E336" s="31"/>
      <c r="F336" s="31"/>
      <c r="G336" s="31"/>
      <c r="H336" s="23" t="str">
        <f t="shared" si="40"/>
        <v/>
      </c>
      <c r="I336" s="31"/>
    </row>
    <row r="337" ht="18.75" customHeight="1">
      <c r="A337" s="30"/>
      <c r="B337" s="30"/>
      <c r="C337" s="30"/>
      <c r="D337" s="30"/>
      <c r="E337" s="30"/>
      <c r="F337" s="30"/>
      <c r="G337" s="30"/>
      <c r="H337" s="27" t="str">
        <f t="shared" si="40"/>
        <v/>
      </c>
      <c r="I337" s="30"/>
    </row>
    <row r="338" ht="18.75" customHeight="1">
      <c r="A338" s="31"/>
      <c r="B338" s="31"/>
      <c r="C338" s="31"/>
      <c r="D338" s="31"/>
      <c r="E338" s="31"/>
      <c r="F338" s="31"/>
      <c r="G338" s="31"/>
      <c r="H338" s="23" t="str">
        <f t="shared" si="40"/>
        <v/>
      </c>
      <c r="I338" s="31"/>
    </row>
    <row r="339" ht="18.75" customHeight="1">
      <c r="A339" s="30"/>
      <c r="B339" s="30"/>
      <c r="C339" s="30"/>
      <c r="D339" s="30"/>
      <c r="E339" s="30"/>
      <c r="F339" s="30"/>
      <c r="G339" s="30"/>
      <c r="H339" s="27" t="str">
        <f t="shared" si="40"/>
        <v/>
      </c>
      <c r="I339" s="30"/>
    </row>
    <row r="340" ht="18.75" customHeight="1">
      <c r="A340" s="31"/>
      <c r="B340" s="31"/>
      <c r="C340" s="31"/>
      <c r="D340" s="31"/>
      <c r="E340" s="31"/>
      <c r="F340" s="31"/>
      <c r="G340" s="31"/>
      <c r="H340" s="23" t="str">
        <f t="shared" si="40"/>
        <v/>
      </c>
      <c r="I340" s="31"/>
    </row>
    <row r="341" ht="18.75" customHeight="1">
      <c r="A341" s="30"/>
      <c r="B341" s="30"/>
      <c r="C341" s="30"/>
      <c r="D341" s="30"/>
      <c r="E341" s="30"/>
      <c r="F341" s="30"/>
      <c r="G341" s="30"/>
      <c r="H341" s="27" t="str">
        <f t="shared" si="40"/>
        <v/>
      </c>
      <c r="I341" s="30"/>
    </row>
    <row r="342" ht="18.75" customHeight="1">
      <c r="A342" s="31"/>
      <c r="B342" s="31"/>
      <c r="C342" s="31"/>
      <c r="D342" s="31"/>
      <c r="E342" s="31"/>
      <c r="F342" s="31"/>
      <c r="G342" s="31"/>
      <c r="H342" s="23" t="str">
        <f t="shared" si="40"/>
        <v/>
      </c>
      <c r="I342" s="31"/>
    </row>
    <row r="343" ht="18.75" customHeight="1">
      <c r="A343" s="30"/>
      <c r="B343" s="30"/>
      <c r="C343" s="30"/>
      <c r="D343" s="30"/>
      <c r="E343" s="30"/>
      <c r="F343" s="30"/>
      <c r="G343" s="30"/>
      <c r="H343" s="27" t="str">
        <f t="shared" si="40"/>
        <v/>
      </c>
      <c r="I343" s="30"/>
    </row>
    <row r="344" ht="18.75" customHeight="1">
      <c r="A344" s="31"/>
      <c r="B344" s="31"/>
      <c r="C344" s="31"/>
      <c r="D344" s="31"/>
      <c r="E344" s="31"/>
      <c r="F344" s="31"/>
      <c r="G344" s="31"/>
      <c r="H344" s="23" t="str">
        <f t="shared" si="40"/>
        <v/>
      </c>
      <c r="I344" s="31"/>
    </row>
    <row r="345" ht="24.0" customHeight="1">
      <c r="A345" s="37" t="s">
        <v>71</v>
      </c>
      <c r="B345" s="38"/>
      <c r="C345" s="38"/>
      <c r="D345" s="38"/>
      <c r="E345" s="39"/>
      <c r="F345" s="40">
        <f t="shared" ref="F345:G345" si="41">SUM(F12:F344)</f>
        <v>2500000</v>
      </c>
      <c r="G345" s="40">
        <f t="shared" si="41"/>
        <v>0</v>
      </c>
      <c r="H345" s="40">
        <f>F345-G345</f>
        <v>2500000</v>
      </c>
      <c r="I345" s="49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</sheetData>
  <mergeCells count="9">
    <mergeCell ref="B9:C9"/>
    <mergeCell ref="A345:E345"/>
    <mergeCell ref="A1:I1"/>
    <mergeCell ref="A2:I2"/>
    <mergeCell ref="B4:C4"/>
    <mergeCell ref="B5:C5"/>
    <mergeCell ref="B6:C6"/>
    <mergeCell ref="B7:C7"/>
    <mergeCell ref="B8:C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23.29"/>
    <col customWidth="1" min="4" max="4" width="35.86"/>
    <col customWidth="1" min="5" max="5" width="20.0"/>
    <col customWidth="1" min="6" max="6" width="18.0"/>
    <col customWidth="1" min="7" max="7" width="20.0"/>
    <col customWidth="1" min="8" max="9" width="18.0"/>
    <col customWidth="1" min="10" max="26" width="8.71"/>
  </cols>
  <sheetData>
    <row r="1" ht="27.75" customHeight="1">
      <c r="A1" s="1" t="s">
        <v>1</v>
      </c>
      <c r="B1" s="2"/>
      <c r="C1" s="2"/>
      <c r="D1" s="2"/>
      <c r="E1" s="2"/>
      <c r="F1" s="2"/>
      <c r="G1" s="2"/>
      <c r="H1" s="2"/>
      <c r="I1" s="4"/>
    </row>
    <row r="2" ht="18.0" customHeight="1">
      <c r="A2" s="5" t="s">
        <v>4</v>
      </c>
      <c r="B2" s="2"/>
      <c r="C2" s="2"/>
      <c r="D2" s="2"/>
      <c r="E2" s="2"/>
      <c r="F2" s="2"/>
      <c r="G2" s="2"/>
      <c r="H2" s="2"/>
      <c r="I2" s="4"/>
    </row>
    <row r="4" ht="19.5" customHeight="1">
      <c r="B4" s="6" t="s">
        <v>8</v>
      </c>
      <c r="C4" s="7"/>
      <c r="D4" s="9">
        <f>F344</f>
        <v>3200000</v>
      </c>
    </row>
    <row r="5" ht="19.5" customHeight="1">
      <c r="B5" s="6" t="s">
        <v>12</v>
      </c>
      <c r="C5" s="7"/>
      <c r="D5" s="9">
        <f>G344</f>
        <v>0</v>
      </c>
    </row>
    <row r="6" ht="19.5" customHeight="1">
      <c r="B6" s="11" t="s">
        <v>13</v>
      </c>
      <c r="C6" s="7"/>
      <c r="D6" s="12">
        <f>D4-D5</f>
        <v>3200000</v>
      </c>
    </row>
    <row r="7" ht="19.5" customHeight="1">
      <c r="B7" s="11" t="s">
        <v>15</v>
      </c>
      <c r="C7" s="7"/>
      <c r="D7" s="14">
        <f>Resume!G15</f>
        <v>3200000</v>
      </c>
    </row>
    <row r="8" ht="19.5" customHeight="1">
      <c r="B8" s="11" t="s">
        <v>17</v>
      </c>
      <c r="C8" s="7"/>
      <c r="D8" s="15">
        <f>D7-D6</f>
        <v>0</v>
      </c>
    </row>
    <row r="9" ht="19.5" customHeight="1">
      <c r="B9" s="11" t="s">
        <v>18</v>
      </c>
      <c r="C9" s="7"/>
      <c r="D9" s="16" t="str">
        <f>IF(D8=0, "✅ PAS / KLOP (Uang Fisik Sesuai)", IF(D8&lt;0, "❌ FISIK TEKOR / KURANG " &amp; TEXT(ABS(D8), "Rp #,##0"), "⚠️ FISIK LEBIH"))</f>
        <v>✅ PAS / KLOP (Uang Fisik Sesuai)</v>
      </c>
    </row>
    <row r="11" ht="25.5" customHeight="1">
      <c r="A11" s="17" t="s">
        <v>21</v>
      </c>
      <c r="B11" s="17" t="s">
        <v>22</v>
      </c>
      <c r="C11" s="17" t="s">
        <v>23</v>
      </c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29</v>
      </c>
      <c r="I11" s="17" t="s">
        <v>30</v>
      </c>
    </row>
    <row r="12" ht="19.5" customHeight="1">
      <c r="A12" s="18">
        <v>1.0</v>
      </c>
      <c r="B12" s="18" t="s">
        <v>31</v>
      </c>
      <c r="C12" s="18" t="s">
        <v>33</v>
      </c>
      <c r="D12" s="19" t="s">
        <v>35</v>
      </c>
      <c r="E12" s="20" t="s">
        <v>38</v>
      </c>
      <c r="F12" s="21">
        <v>3200000.0</v>
      </c>
      <c r="G12" s="23"/>
      <c r="H12" s="22">
        <f>IF(AND(F12="", G12=""), "", SUM($F$12:F12)-SUM($G$12:G12))</f>
        <v>3200000</v>
      </c>
      <c r="I12" s="20" t="s">
        <v>41</v>
      </c>
    </row>
    <row r="13" ht="19.5" customHeight="1">
      <c r="A13" s="25"/>
      <c r="B13" s="25"/>
      <c r="C13" s="25"/>
      <c r="D13" s="26"/>
      <c r="E13" s="26"/>
      <c r="F13" s="27"/>
      <c r="G13" s="27"/>
      <c r="H13" s="29"/>
      <c r="I13" s="26"/>
    </row>
    <row r="14" ht="18.75" customHeight="1">
      <c r="A14" s="30"/>
      <c r="B14" s="30"/>
      <c r="C14" s="30"/>
      <c r="D14" s="30"/>
      <c r="E14" s="30"/>
      <c r="F14" s="30"/>
      <c r="G14" s="30"/>
      <c r="H14" s="27" t="str">
        <f t="shared" ref="H14:H20" si="1">IF(AND(F14="", G14=""), "", SUM($F$12:F14)-SUM($G$12:G14))</f>
        <v/>
      </c>
      <c r="I14" s="30"/>
    </row>
    <row r="15" ht="18.75" customHeight="1">
      <c r="A15" s="31"/>
      <c r="B15" s="31"/>
      <c r="C15" s="31"/>
      <c r="D15" s="31"/>
      <c r="E15" s="31"/>
      <c r="F15" s="31"/>
      <c r="G15" s="31"/>
      <c r="H15" s="23" t="str">
        <f t="shared" si="1"/>
        <v/>
      </c>
      <c r="I15" s="31"/>
    </row>
    <row r="16" ht="18.75" customHeight="1">
      <c r="A16" s="30"/>
      <c r="B16" s="30"/>
      <c r="C16" s="30"/>
      <c r="D16" s="30"/>
      <c r="E16" s="30"/>
      <c r="F16" s="30"/>
      <c r="G16" s="30"/>
      <c r="H16" s="27" t="str">
        <f t="shared" si="1"/>
        <v/>
      </c>
      <c r="I16" s="30"/>
    </row>
    <row r="17" ht="18.75" customHeight="1">
      <c r="A17" s="31"/>
      <c r="B17" s="31"/>
      <c r="C17" s="31"/>
      <c r="D17" s="31"/>
      <c r="E17" s="31"/>
      <c r="F17" s="31"/>
      <c r="G17" s="31"/>
      <c r="H17" s="23" t="str">
        <f t="shared" si="1"/>
        <v/>
      </c>
      <c r="I17" s="31"/>
    </row>
    <row r="18" ht="18.75" customHeight="1">
      <c r="A18" s="30"/>
      <c r="B18" s="30"/>
      <c r="C18" s="30"/>
      <c r="D18" s="30"/>
      <c r="E18" s="30"/>
      <c r="F18" s="30"/>
      <c r="G18" s="30"/>
      <c r="H18" s="27" t="str">
        <f t="shared" si="1"/>
        <v/>
      </c>
      <c r="I18" s="30"/>
    </row>
    <row r="19" ht="18.75" customHeight="1">
      <c r="A19" s="31"/>
      <c r="B19" s="31"/>
      <c r="C19" s="31"/>
      <c r="D19" s="31"/>
      <c r="E19" s="31"/>
      <c r="F19" s="31"/>
      <c r="G19" s="31"/>
      <c r="H19" s="23" t="str">
        <f t="shared" si="1"/>
        <v/>
      </c>
      <c r="I19" s="31"/>
    </row>
    <row r="20" ht="18.75" customHeight="1">
      <c r="A20" s="30"/>
      <c r="B20" s="30"/>
      <c r="C20" s="30"/>
      <c r="D20" s="30"/>
      <c r="E20" s="30"/>
      <c r="F20" s="30"/>
      <c r="G20" s="30"/>
      <c r="H20" s="27" t="str">
        <f t="shared" si="1"/>
        <v/>
      </c>
      <c r="I20" s="30"/>
    </row>
    <row r="21" ht="18.75" customHeight="1">
      <c r="A21" s="31"/>
      <c r="B21" s="31"/>
      <c r="C21" s="31"/>
      <c r="D21" s="31"/>
      <c r="E21" s="31"/>
      <c r="F21" s="31"/>
      <c r="G21" s="31"/>
      <c r="H21" s="23"/>
      <c r="I21" s="31"/>
    </row>
    <row r="22" ht="18.75" customHeight="1">
      <c r="A22" s="30"/>
      <c r="B22" s="30"/>
      <c r="C22" s="30"/>
      <c r="D22" s="30"/>
      <c r="E22" s="30"/>
      <c r="F22" s="30"/>
      <c r="G22" s="30"/>
      <c r="H22" s="27" t="str">
        <f t="shared" ref="H22:H28" si="2">IF(AND(F22="", G22=""), "", SUM($F$12:F22)-SUM($G$12:G22))</f>
        <v/>
      </c>
      <c r="I22" s="30"/>
    </row>
    <row r="23" ht="18.75" customHeight="1">
      <c r="A23" s="31"/>
      <c r="B23" s="31"/>
      <c r="C23" s="31"/>
      <c r="D23" s="31"/>
      <c r="E23" s="31"/>
      <c r="F23" s="31"/>
      <c r="G23" s="31"/>
      <c r="H23" s="23" t="str">
        <f t="shared" si="2"/>
        <v/>
      </c>
      <c r="I23" s="31"/>
    </row>
    <row r="24" ht="18.75" customHeight="1">
      <c r="A24" s="30"/>
      <c r="B24" s="30"/>
      <c r="C24" s="30"/>
      <c r="D24" s="30"/>
      <c r="E24" s="30"/>
      <c r="F24" s="30"/>
      <c r="G24" s="30"/>
      <c r="H24" s="27" t="str">
        <f t="shared" si="2"/>
        <v/>
      </c>
      <c r="I24" s="30"/>
    </row>
    <row r="25" ht="18.75" customHeight="1">
      <c r="A25" s="31"/>
      <c r="B25" s="31"/>
      <c r="C25" s="31"/>
      <c r="D25" s="31"/>
      <c r="E25" s="31"/>
      <c r="F25" s="31"/>
      <c r="G25" s="31"/>
      <c r="H25" s="23" t="str">
        <f t="shared" si="2"/>
        <v/>
      </c>
      <c r="I25" s="31"/>
    </row>
    <row r="26" ht="18.75" customHeight="1">
      <c r="A26" s="30"/>
      <c r="B26" s="30"/>
      <c r="C26" s="30"/>
      <c r="D26" s="30"/>
      <c r="E26" s="30"/>
      <c r="F26" s="30"/>
      <c r="G26" s="30"/>
      <c r="H26" s="27" t="str">
        <f t="shared" si="2"/>
        <v/>
      </c>
      <c r="I26" s="30"/>
    </row>
    <row r="27" ht="18.75" customHeight="1">
      <c r="A27" s="31"/>
      <c r="B27" s="31"/>
      <c r="C27" s="31"/>
      <c r="D27" s="31"/>
      <c r="E27" s="31"/>
      <c r="F27" s="31"/>
      <c r="G27" s="31"/>
      <c r="H27" s="23" t="str">
        <f t="shared" si="2"/>
        <v/>
      </c>
      <c r="I27" s="31"/>
    </row>
    <row r="28" ht="18.75" customHeight="1">
      <c r="A28" s="30"/>
      <c r="B28" s="30"/>
      <c r="C28" s="30"/>
      <c r="D28" s="30"/>
      <c r="E28" s="30"/>
      <c r="F28" s="30"/>
      <c r="G28" s="30"/>
      <c r="H28" s="27" t="str">
        <f t="shared" si="2"/>
        <v/>
      </c>
      <c r="I28" s="30"/>
    </row>
    <row r="29" ht="18.75" customHeight="1">
      <c r="A29" s="31"/>
      <c r="B29" s="31"/>
      <c r="C29" s="31"/>
      <c r="D29" s="31"/>
      <c r="E29" s="31"/>
      <c r="F29" s="31"/>
      <c r="G29" s="31"/>
      <c r="H29" s="23"/>
      <c r="I29" s="31"/>
    </row>
    <row r="30" ht="18.75" customHeight="1">
      <c r="A30" s="30"/>
      <c r="B30" s="30"/>
      <c r="C30" s="30"/>
      <c r="D30" s="30"/>
      <c r="E30" s="30"/>
      <c r="F30" s="30"/>
      <c r="G30" s="30"/>
      <c r="H30" s="27" t="str">
        <f t="shared" ref="H30:H36" si="3">IF(AND(F30="", G30=""), "", SUM($F$12:F30)-SUM($G$12:G30))</f>
        <v/>
      </c>
      <c r="I30" s="30"/>
    </row>
    <row r="31" ht="18.75" customHeight="1">
      <c r="A31" s="31"/>
      <c r="B31" s="31"/>
      <c r="C31" s="31"/>
      <c r="D31" s="31"/>
      <c r="E31" s="31"/>
      <c r="F31" s="31"/>
      <c r="G31" s="31"/>
      <c r="H31" s="23" t="str">
        <f t="shared" si="3"/>
        <v/>
      </c>
      <c r="I31" s="31"/>
    </row>
    <row r="32" ht="18.75" customHeight="1">
      <c r="A32" s="30"/>
      <c r="B32" s="30"/>
      <c r="C32" s="30"/>
      <c r="D32" s="30"/>
      <c r="E32" s="30"/>
      <c r="F32" s="30"/>
      <c r="G32" s="30"/>
      <c r="H32" s="27" t="str">
        <f t="shared" si="3"/>
        <v/>
      </c>
      <c r="I32" s="30"/>
    </row>
    <row r="33" ht="18.75" customHeight="1">
      <c r="A33" s="31"/>
      <c r="B33" s="31"/>
      <c r="C33" s="31"/>
      <c r="D33" s="31"/>
      <c r="E33" s="31"/>
      <c r="F33" s="31"/>
      <c r="G33" s="31"/>
      <c r="H33" s="23" t="str">
        <f t="shared" si="3"/>
        <v/>
      </c>
      <c r="I33" s="31"/>
    </row>
    <row r="34" ht="18.75" customHeight="1">
      <c r="A34" s="30"/>
      <c r="B34" s="30"/>
      <c r="C34" s="30"/>
      <c r="D34" s="30"/>
      <c r="E34" s="30"/>
      <c r="F34" s="30"/>
      <c r="G34" s="30"/>
      <c r="H34" s="27" t="str">
        <f t="shared" si="3"/>
        <v/>
      </c>
      <c r="I34" s="30"/>
    </row>
    <row r="35" ht="18.75" customHeight="1">
      <c r="A35" s="31"/>
      <c r="B35" s="31"/>
      <c r="C35" s="31"/>
      <c r="D35" s="31"/>
      <c r="E35" s="31"/>
      <c r="F35" s="31"/>
      <c r="G35" s="31"/>
      <c r="H35" s="23" t="str">
        <f t="shared" si="3"/>
        <v/>
      </c>
      <c r="I35" s="31"/>
    </row>
    <row r="36" ht="18.75" customHeight="1">
      <c r="A36" s="30"/>
      <c r="B36" s="30"/>
      <c r="C36" s="30"/>
      <c r="D36" s="30"/>
      <c r="E36" s="30"/>
      <c r="F36" s="30"/>
      <c r="G36" s="30"/>
      <c r="H36" s="27" t="str">
        <f t="shared" si="3"/>
        <v/>
      </c>
      <c r="I36" s="30"/>
    </row>
    <row r="37" ht="18.75" customHeight="1">
      <c r="A37" s="31"/>
      <c r="B37" s="31"/>
      <c r="C37" s="31"/>
      <c r="D37" s="31"/>
      <c r="E37" s="31"/>
      <c r="F37" s="31"/>
      <c r="G37" s="31"/>
      <c r="H37" s="23"/>
      <c r="I37" s="31"/>
    </row>
    <row r="38" ht="18.75" customHeight="1">
      <c r="A38" s="30"/>
      <c r="B38" s="30"/>
      <c r="C38" s="30"/>
      <c r="D38" s="30"/>
      <c r="E38" s="30"/>
      <c r="F38" s="30"/>
      <c r="G38" s="30"/>
      <c r="H38" s="27" t="str">
        <f t="shared" ref="H38:H44" si="4">IF(AND(F38="", G38=""), "", SUM($F$12:F38)-SUM($G$12:G38))</f>
        <v/>
      </c>
      <c r="I38" s="30"/>
    </row>
    <row r="39" ht="18.75" customHeight="1">
      <c r="A39" s="31"/>
      <c r="B39" s="31"/>
      <c r="C39" s="31"/>
      <c r="D39" s="31"/>
      <c r="E39" s="31"/>
      <c r="F39" s="31"/>
      <c r="G39" s="31"/>
      <c r="H39" s="23" t="str">
        <f t="shared" si="4"/>
        <v/>
      </c>
      <c r="I39" s="31"/>
    </row>
    <row r="40" ht="18.75" customHeight="1">
      <c r="A40" s="30"/>
      <c r="B40" s="30"/>
      <c r="C40" s="30"/>
      <c r="D40" s="30"/>
      <c r="E40" s="30"/>
      <c r="F40" s="30"/>
      <c r="G40" s="30"/>
      <c r="H40" s="27" t="str">
        <f t="shared" si="4"/>
        <v/>
      </c>
      <c r="I40" s="30"/>
    </row>
    <row r="41" ht="18.75" customHeight="1">
      <c r="A41" s="31"/>
      <c r="B41" s="31"/>
      <c r="C41" s="31"/>
      <c r="D41" s="31"/>
      <c r="E41" s="31"/>
      <c r="F41" s="31"/>
      <c r="G41" s="31"/>
      <c r="H41" s="23" t="str">
        <f t="shared" si="4"/>
        <v/>
      </c>
      <c r="I41" s="31"/>
    </row>
    <row r="42" ht="18.75" customHeight="1">
      <c r="A42" s="30"/>
      <c r="B42" s="30"/>
      <c r="C42" s="30"/>
      <c r="D42" s="30"/>
      <c r="E42" s="30"/>
      <c r="F42" s="30"/>
      <c r="G42" s="30"/>
      <c r="H42" s="27" t="str">
        <f t="shared" si="4"/>
        <v/>
      </c>
      <c r="I42" s="30"/>
    </row>
    <row r="43" ht="18.75" customHeight="1">
      <c r="A43" s="31"/>
      <c r="B43" s="31"/>
      <c r="C43" s="31"/>
      <c r="D43" s="31"/>
      <c r="E43" s="31"/>
      <c r="F43" s="31"/>
      <c r="G43" s="31"/>
      <c r="H43" s="23" t="str">
        <f t="shared" si="4"/>
        <v/>
      </c>
      <c r="I43" s="31"/>
    </row>
    <row r="44" ht="18.75" customHeight="1">
      <c r="A44" s="30"/>
      <c r="B44" s="30"/>
      <c r="C44" s="30"/>
      <c r="D44" s="30"/>
      <c r="E44" s="30"/>
      <c r="F44" s="30"/>
      <c r="G44" s="30"/>
      <c r="H44" s="27" t="str">
        <f t="shared" si="4"/>
        <v/>
      </c>
      <c r="I44" s="30"/>
    </row>
    <row r="45" ht="18.75" customHeight="1">
      <c r="A45" s="31"/>
      <c r="B45" s="31"/>
      <c r="C45" s="31"/>
      <c r="D45" s="31"/>
      <c r="E45" s="31"/>
      <c r="F45" s="31"/>
      <c r="G45" s="31"/>
      <c r="H45" s="23"/>
      <c r="I45" s="31"/>
    </row>
    <row r="46" ht="18.75" customHeight="1">
      <c r="A46" s="30"/>
      <c r="B46" s="30"/>
      <c r="C46" s="30"/>
      <c r="D46" s="30"/>
      <c r="E46" s="30"/>
      <c r="F46" s="30"/>
      <c r="G46" s="30"/>
      <c r="H46" s="27" t="str">
        <f t="shared" ref="H46:H52" si="5">IF(AND(F46="", G46=""), "", SUM($F$12:F46)-SUM($G$12:G46))</f>
        <v/>
      </c>
      <c r="I46" s="30"/>
    </row>
    <row r="47" ht="18.75" customHeight="1">
      <c r="A47" s="31"/>
      <c r="B47" s="31"/>
      <c r="C47" s="31"/>
      <c r="D47" s="31"/>
      <c r="E47" s="31"/>
      <c r="F47" s="31"/>
      <c r="G47" s="31"/>
      <c r="H47" s="23" t="str">
        <f t="shared" si="5"/>
        <v/>
      </c>
      <c r="I47" s="31"/>
    </row>
    <row r="48" ht="18.75" customHeight="1">
      <c r="A48" s="30"/>
      <c r="B48" s="30"/>
      <c r="C48" s="30"/>
      <c r="D48" s="30"/>
      <c r="E48" s="30"/>
      <c r="F48" s="30"/>
      <c r="G48" s="30"/>
      <c r="H48" s="27" t="str">
        <f t="shared" si="5"/>
        <v/>
      </c>
      <c r="I48" s="30"/>
    </row>
    <row r="49" ht="18.75" customHeight="1">
      <c r="A49" s="31"/>
      <c r="B49" s="31"/>
      <c r="C49" s="31"/>
      <c r="D49" s="31"/>
      <c r="E49" s="31"/>
      <c r="F49" s="31"/>
      <c r="G49" s="31"/>
      <c r="H49" s="23" t="str">
        <f t="shared" si="5"/>
        <v/>
      </c>
      <c r="I49" s="31"/>
    </row>
    <row r="50" ht="18.75" customHeight="1">
      <c r="A50" s="30"/>
      <c r="B50" s="30"/>
      <c r="C50" s="30"/>
      <c r="D50" s="30"/>
      <c r="E50" s="30"/>
      <c r="F50" s="30"/>
      <c r="G50" s="30"/>
      <c r="H50" s="27" t="str">
        <f t="shared" si="5"/>
        <v/>
      </c>
      <c r="I50" s="30"/>
    </row>
    <row r="51" ht="18.75" customHeight="1">
      <c r="A51" s="31"/>
      <c r="B51" s="31"/>
      <c r="C51" s="31"/>
      <c r="D51" s="31"/>
      <c r="E51" s="31"/>
      <c r="F51" s="31"/>
      <c r="G51" s="31"/>
      <c r="H51" s="23" t="str">
        <f t="shared" si="5"/>
        <v/>
      </c>
      <c r="I51" s="31"/>
    </row>
    <row r="52" ht="18.75" customHeight="1">
      <c r="A52" s="30"/>
      <c r="B52" s="30"/>
      <c r="C52" s="30"/>
      <c r="D52" s="30"/>
      <c r="E52" s="30"/>
      <c r="F52" s="30"/>
      <c r="G52" s="30"/>
      <c r="H52" s="27" t="str">
        <f t="shared" si="5"/>
        <v/>
      </c>
      <c r="I52" s="30"/>
    </row>
    <row r="53" ht="18.75" customHeight="1">
      <c r="A53" s="31"/>
      <c r="B53" s="31"/>
      <c r="C53" s="31"/>
      <c r="D53" s="31"/>
      <c r="E53" s="31"/>
      <c r="F53" s="31"/>
      <c r="G53" s="31"/>
      <c r="H53" s="23"/>
      <c r="I53" s="31"/>
    </row>
    <row r="54" ht="18.75" customHeight="1">
      <c r="A54" s="30"/>
      <c r="B54" s="30"/>
      <c r="C54" s="30"/>
      <c r="D54" s="30"/>
      <c r="E54" s="30"/>
      <c r="F54" s="30"/>
      <c r="G54" s="30"/>
      <c r="H54" s="27" t="str">
        <f t="shared" ref="H54:H60" si="6">IF(AND(F54="", G54=""), "", SUM($F$12:F54)-SUM($G$12:G54))</f>
        <v/>
      </c>
      <c r="I54" s="30"/>
    </row>
    <row r="55" ht="18.75" customHeight="1">
      <c r="A55" s="31"/>
      <c r="B55" s="31"/>
      <c r="C55" s="31"/>
      <c r="D55" s="31"/>
      <c r="E55" s="31"/>
      <c r="F55" s="31"/>
      <c r="G55" s="31"/>
      <c r="H55" s="23" t="str">
        <f t="shared" si="6"/>
        <v/>
      </c>
      <c r="I55" s="31"/>
    </row>
    <row r="56" ht="18.75" customHeight="1">
      <c r="A56" s="30"/>
      <c r="B56" s="30"/>
      <c r="C56" s="30"/>
      <c r="D56" s="30"/>
      <c r="E56" s="30"/>
      <c r="F56" s="30"/>
      <c r="G56" s="30"/>
      <c r="H56" s="27" t="str">
        <f t="shared" si="6"/>
        <v/>
      </c>
      <c r="I56" s="30"/>
    </row>
    <row r="57" ht="18.75" customHeight="1">
      <c r="A57" s="31"/>
      <c r="B57" s="31"/>
      <c r="C57" s="31"/>
      <c r="D57" s="31"/>
      <c r="E57" s="31"/>
      <c r="F57" s="31"/>
      <c r="G57" s="31"/>
      <c r="H57" s="23" t="str">
        <f t="shared" si="6"/>
        <v/>
      </c>
      <c r="I57" s="31"/>
    </row>
    <row r="58" ht="18.75" customHeight="1">
      <c r="A58" s="30"/>
      <c r="B58" s="30"/>
      <c r="C58" s="30"/>
      <c r="D58" s="30"/>
      <c r="E58" s="30"/>
      <c r="F58" s="30"/>
      <c r="G58" s="30"/>
      <c r="H58" s="27" t="str">
        <f t="shared" si="6"/>
        <v/>
      </c>
      <c r="I58" s="30"/>
    </row>
    <row r="59" ht="18.75" customHeight="1">
      <c r="A59" s="31"/>
      <c r="B59" s="31"/>
      <c r="C59" s="31"/>
      <c r="D59" s="31"/>
      <c r="E59" s="31"/>
      <c r="F59" s="31"/>
      <c r="G59" s="31"/>
      <c r="H59" s="23" t="str">
        <f t="shared" si="6"/>
        <v/>
      </c>
      <c r="I59" s="31"/>
    </row>
    <row r="60" ht="18.75" customHeight="1">
      <c r="A60" s="30"/>
      <c r="B60" s="30"/>
      <c r="C60" s="30"/>
      <c r="D60" s="30"/>
      <c r="E60" s="30"/>
      <c r="F60" s="30"/>
      <c r="G60" s="30"/>
      <c r="H60" s="27" t="str">
        <f t="shared" si="6"/>
        <v/>
      </c>
      <c r="I60" s="30"/>
    </row>
    <row r="61" ht="18.75" customHeight="1">
      <c r="A61" s="31"/>
      <c r="B61" s="31"/>
      <c r="C61" s="31"/>
      <c r="D61" s="31"/>
      <c r="E61" s="31"/>
      <c r="F61" s="31"/>
      <c r="G61" s="31"/>
      <c r="H61" s="23"/>
      <c r="I61" s="31"/>
    </row>
    <row r="62" ht="18.75" customHeight="1">
      <c r="A62" s="30"/>
      <c r="B62" s="30"/>
      <c r="C62" s="30"/>
      <c r="D62" s="30"/>
      <c r="E62" s="30"/>
      <c r="F62" s="30"/>
      <c r="G62" s="30"/>
      <c r="H62" s="27" t="str">
        <f t="shared" ref="H62:H68" si="7">IF(AND(F62="", G62=""), "", SUM($F$12:F62)-SUM($G$12:G62))</f>
        <v/>
      </c>
      <c r="I62" s="30"/>
    </row>
    <row r="63" ht="18.75" customHeight="1">
      <c r="A63" s="31"/>
      <c r="B63" s="31"/>
      <c r="C63" s="31"/>
      <c r="D63" s="31"/>
      <c r="E63" s="31"/>
      <c r="F63" s="31"/>
      <c r="G63" s="31"/>
      <c r="H63" s="23" t="str">
        <f t="shared" si="7"/>
        <v/>
      </c>
      <c r="I63" s="31"/>
    </row>
    <row r="64" ht="18.75" customHeight="1">
      <c r="A64" s="30"/>
      <c r="B64" s="30"/>
      <c r="C64" s="30"/>
      <c r="D64" s="30"/>
      <c r="E64" s="30"/>
      <c r="F64" s="30"/>
      <c r="G64" s="30"/>
      <c r="H64" s="27" t="str">
        <f t="shared" si="7"/>
        <v/>
      </c>
      <c r="I64" s="30"/>
    </row>
    <row r="65" ht="18.75" customHeight="1">
      <c r="A65" s="31"/>
      <c r="B65" s="31"/>
      <c r="C65" s="31"/>
      <c r="D65" s="31"/>
      <c r="E65" s="31"/>
      <c r="F65" s="31"/>
      <c r="G65" s="31"/>
      <c r="H65" s="23" t="str">
        <f t="shared" si="7"/>
        <v/>
      </c>
      <c r="I65" s="31"/>
    </row>
    <row r="66" ht="18.75" customHeight="1">
      <c r="A66" s="30"/>
      <c r="B66" s="30"/>
      <c r="C66" s="30"/>
      <c r="D66" s="30"/>
      <c r="E66" s="30"/>
      <c r="F66" s="30"/>
      <c r="G66" s="30"/>
      <c r="H66" s="27" t="str">
        <f t="shared" si="7"/>
        <v/>
      </c>
      <c r="I66" s="30"/>
    </row>
    <row r="67" ht="18.75" customHeight="1">
      <c r="A67" s="31"/>
      <c r="B67" s="31"/>
      <c r="C67" s="31"/>
      <c r="D67" s="31"/>
      <c r="E67" s="31"/>
      <c r="F67" s="31"/>
      <c r="G67" s="31"/>
      <c r="H67" s="23" t="str">
        <f t="shared" si="7"/>
        <v/>
      </c>
      <c r="I67" s="31"/>
    </row>
    <row r="68" ht="18.75" customHeight="1">
      <c r="A68" s="30"/>
      <c r="B68" s="30"/>
      <c r="C68" s="30"/>
      <c r="D68" s="30"/>
      <c r="E68" s="30"/>
      <c r="F68" s="30"/>
      <c r="G68" s="30"/>
      <c r="H68" s="27" t="str">
        <f t="shared" si="7"/>
        <v/>
      </c>
      <c r="I68" s="30"/>
    </row>
    <row r="69" ht="18.75" customHeight="1">
      <c r="A69" s="31"/>
      <c r="B69" s="31"/>
      <c r="C69" s="31"/>
      <c r="D69" s="31"/>
      <c r="E69" s="31"/>
      <c r="F69" s="31"/>
      <c r="G69" s="31"/>
      <c r="H69" s="23"/>
      <c r="I69" s="31"/>
    </row>
    <row r="70" ht="18.75" customHeight="1">
      <c r="A70" s="30"/>
      <c r="B70" s="30"/>
      <c r="C70" s="30"/>
      <c r="D70" s="30"/>
      <c r="E70" s="30"/>
      <c r="F70" s="30"/>
      <c r="G70" s="30"/>
      <c r="H70" s="27" t="str">
        <f t="shared" ref="H70:H76" si="8">IF(AND(F70="", G70=""), "", SUM($F$12:F70)-SUM($G$12:G70))</f>
        <v/>
      </c>
      <c r="I70" s="30"/>
    </row>
    <row r="71" ht="18.75" customHeight="1">
      <c r="A71" s="31"/>
      <c r="B71" s="31"/>
      <c r="C71" s="31"/>
      <c r="D71" s="31"/>
      <c r="E71" s="31"/>
      <c r="F71" s="31"/>
      <c r="G71" s="31"/>
      <c r="H71" s="23" t="str">
        <f t="shared" si="8"/>
        <v/>
      </c>
      <c r="I71" s="31"/>
    </row>
    <row r="72" ht="18.75" customHeight="1">
      <c r="A72" s="30"/>
      <c r="B72" s="30"/>
      <c r="C72" s="30"/>
      <c r="D72" s="30"/>
      <c r="E72" s="30"/>
      <c r="F72" s="30"/>
      <c r="G72" s="30"/>
      <c r="H72" s="27" t="str">
        <f t="shared" si="8"/>
        <v/>
      </c>
      <c r="I72" s="30"/>
    </row>
    <row r="73" ht="18.75" customHeight="1">
      <c r="A73" s="31"/>
      <c r="B73" s="31"/>
      <c r="C73" s="31"/>
      <c r="D73" s="31"/>
      <c r="E73" s="31"/>
      <c r="F73" s="31"/>
      <c r="G73" s="31"/>
      <c r="H73" s="23" t="str">
        <f t="shared" si="8"/>
        <v/>
      </c>
      <c r="I73" s="31"/>
    </row>
    <row r="74" ht="18.75" customHeight="1">
      <c r="A74" s="30"/>
      <c r="B74" s="30"/>
      <c r="C74" s="30"/>
      <c r="D74" s="30"/>
      <c r="E74" s="30"/>
      <c r="F74" s="30"/>
      <c r="G74" s="30"/>
      <c r="H74" s="27" t="str">
        <f t="shared" si="8"/>
        <v/>
      </c>
      <c r="I74" s="30"/>
    </row>
    <row r="75" ht="18.75" customHeight="1">
      <c r="A75" s="31"/>
      <c r="B75" s="31"/>
      <c r="C75" s="31"/>
      <c r="D75" s="31"/>
      <c r="E75" s="31"/>
      <c r="F75" s="31"/>
      <c r="G75" s="31"/>
      <c r="H75" s="23" t="str">
        <f t="shared" si="8"/>
        <v/>
      </c>
      <c r="I75" s="31"/>
    </row>
    <row r="76" ht="18.75" customHeight="1">
      <c r="A76" s="30"/>
      <c r="B76" s="30"/>
      <c r="C76" s="30"/>
      <c r="D76" s="30"/>
      <c r="E76" s="30"/>
      <c r="F76" s="30"/>
      <c r="G76" s="30"/>
      <c r="H76" s="27" t="str">
        <f t="shared" si="8"/>
        <v/>
      </c>
      <c r="I76" s="30"/>
    </row>
    <row r="77" ht="18.75" customHeight="1">
      <c r="A77" s="31"/>
      <c r="B77" s="31"/>
      <c r="C77" s="31"/>
      <c r="D77" s="31"/>
      <c r="E77" s="31"/>
      <c r="F77" s="31"/>
      <c r="G77" s="31"/>
      <c r="H77" s="23"/>
      <c r="I77" s="31"/>
    </row>
    <row r="78" ht="18.75" customHeight="1">
      <c r="A78" s="30"/>
      <c r="B78" s="30"/>
      <c r="C78" s="30"/>
      <c r="D78" s="30"/>
      <c r="E78" s="30"/>
      <c r="F78" s="30"/>
      <c r="G78" s="30"/>
      <c r="H78" s="27" t="str">
        <f t="shared" ref="H78:H84" si="9">IF(AND(F78="", G78=""), "", SUM($F$12:F78)-SUM($G$12:G78))</f>
        <v/>
      </c>
      <c r="I78" s="30"/>
    </row>
    <row r="79" ht="18.75" customHeight="1">
      <c r="A79" s="31"/>
      <c r="B79" s="31"/>
      <c r="C79" s="31"/>
      <c r="D79" s="31"/>
      <c r="E79" s="31"/>
      <c r="F79" s="31"/>
      <c r="G79" s="31"/>
      <c r="H79" s="23" t="str">
        <f t="shared" si="9"/>
        <v/>
      </c>
      <c r="I79" s="31"/>
    </row>
    <row r="80" ht="18.75" customHeight="1">
      <c r="A80" s="30"/>
      <c r="B80" s="30"/>
      <c r="C80" s="30"/>
      <c r="D80" s="30"/>
      <c r="E80" s="30"/>
      <c r="F80" s="30"/>
      <c r="G80" s="30"/>
      <c r="H80" s="27" t="str">
        <f t="shared" si="9"/>
        <v/>
      </c>
      <c r="I80" s="30"/>
    </row>
    <row r="81" ht="18.75" customHeight="1">
      <c r="A81" s="31"/>
      <c r="B81" s="31"/>
      <c r="C81" s="31"/>
      <c r="D81" s="31"/>
      <c r="E81" s="31"/>
      <c r="F81" s="31"/>
      <c r="G81" s="31"/>
      <c r="H81" s="23" t="str">
        <f t="shared" si="9"/>
        <v/>
      </c>
      <c r="I81" s="31"/>
    </row>
    <row r="82" ht="18.75" customHeight="1">
      <c r="A82" s="30"/>
      <c r="B82" s="30"/>
      <c r="C82" s="30"/>
      <c r="D82" s="30"/>
      <c r="E82" s="30"/>
      <c r="F82" s="30"/>
      <c r="G82" s="30"/>
      <c r="H82" s="27" t="str">
        <f t="shared" si="9"/>
        <v/>
      </c>
      <c r="I82" s="30"/>
    </row>
    <row r="83" ht="18.75" customHeight="1">
      <c r="A83" s="31"/>
      <c r="B83" s="31"/>
      <c r="C83" s="31"/>
      <c r="D83" s="31"/>
      <c r="E83" s="31"/>
      <c r="F83" s="31"/>
      <c r="G83" s="31"/>
      <c r="H83" s="23" t="str">
        <f t="shared" si="9"/>
        <v/>
      </c>
      <c r="I83" s="31"/>
    </row>
    <row r="84" ht="18.75" customHeight="1">
      <c r="A84" s="30"/>
      <c r="B84" s="30"/>
      <c r="C84" s="30"/>
      <c r="D84" s="30"/>
      <c r="E84" s="30"/>
      <c r="F84" s="30"/>
      <c r="G84" s="30"/>
      <c r="H84" s="27" t="str">
        <f t="shared" si="9"/>
        <v/>
      </c>
      <c r="I84" s="30"/>
    </row>
    <row r="85" ht="18.75" customHeight="1">
      <c r="A85" s="31"/>
      <c r="B85" s="31"/>
      <c r="C85" s="31"/>
      <c r="D85" s="31"/>
      <c r="E85" s="31"/>
      <c r="F85" s="31"/>
      <c r="G85" s="31"/>
      <c r="H85" s="23"/>
      <c r="I85" s="31"/>
    </row>
    <row r="86" ht="18.75" customHeight="1">
      <c r="A86" s="30"/>
      <c r="B86" s="30"/>
      <c r="C86" s="30"/>
      <c r="D86" s="30"/>
      <c r="E86" s="30"/>
      <c r="F86" s="30"/>
      <c r="G86" s="30"/>
      <c r="H86" s="27" t="str">
        <f t="shared" ref="H86:H92" si="10">IF(AND(F86="", G86=""), "", SUM($F$12:F86)-SUM($G$12:G86))</f>
        <v/>
      </c>
      <c r="I86" s="30"/>
    </row>
    <row r="87" ht="18.75" customHeight="1">
      <c r="A87" s="31"/>
      <c r="B87" s="31"/>
      <c r="C87" s="31"/>
      <c r="D87" s="31"/>
      <c r="E87" s="31"/>
      <c r="F87" s="31"/>
      <c r="G87" s="31"/>
      <c r="H87" s="23" t="str">
        <f t="shared" si="10"/>
        <v/>
      </c>
      <c r="I87" s="31"/>
    </row>
    <row r="88" ht="18.75" customHeight="1">
      <c r="A88" s="30"/>
      <c r="B88" s="30"/>
      <c r="C88" s="30"/>
      <c r="D88" s="30"/>
      <c r="E88" s="30"/>
      <c r="F88" s="30"/>
      <c r="G88" s="30"/>
      <c r="H88" s="27" t="str">
        <f t="shared" si="10"/>
        <v/>
      </c>
      <c r="I88" s="30"/>
    </row>
    <row r="89" ht="18.75" customHeight="1">
      <c r="A89" s="31"/>
      <c r="B89" s="31"/>
      <c r="C89" s="31"/>
      <c r="D89" s="31"/>
      <c r="E89" s="31"/>
      <c r="F89" s="31"/>
      <c r="G89" s="31"/>
      <c r="H89" s="23" t="str">
        <f t="shared" si="10"/>
        <v/>
      </c>
      <c r="I89" s="31"/>
    </row>
    <row r="90" ht="18.75" customHeight="1">
      <c r="A90" s="30"/>
      <c r="B90" s="30"/>
      <c r="C90" s="30"/>
      <c r="D90" s="30"/>
      <c r="E90" s="30"/>
      <c r="F90" s="30"/>
      <c r="G90" s="30"/>
      <c r="H90" s="27" t="str">
        <f t="shared" si="10"/>
        <v/>
      </c>
      <c r="I90" s="30"/>
    </row>
    <row r="91" ht="18.75" customHeight="1">
      <c r="A91" s="31"/>
      <c r="B91" s="31"/>
      <c r="C91" s="31"/>
      <c r="D91" s="31"/>
      <c r="E91" s="31"/>
      <c r="F91" s="31"/>
      <c r="G91" s="31"/>
      <c r="H91" s="23" t="str">
        <f t="shared" si="10"/>
        <v/>
      </c>
      <c r="I91" s="31"/>
    </row>
    <row r="92" ht="18.75" customHeight="1">
      <c r="A92" s="30"/>
      <c r="B92" s="30"/>
      <c r="C92" s="30"/>
      <c r="D92" s="30"/>
      <c r="E92" s="30"/>
      <c r="F92" s="30"/>
      <c r="G92" s="30"/>
      <c r="H92" s="27" t="str">
        <f t="shared" si="10"/>
        <v/>
      </c>
      <c r="I92" s="30"/>
    </row>
    <row r="93" ht="18.75" customHeight="1">
      <c r="A93" s="31"/>
      <c r="B93" s="31"/>
      <c r="C93" s="31"/>
      <c r="D93" s="31"/>
      <c r="E93" s="31"/>
      <c r="F93" s="31"/>
      <c r="G93" s="31"/>
      <c r="H93" s="23"/>
      <c r="I93" s="31"/>
    </row>
    <row r="94" ht="18.75" customHeight="1">
      <c r="A94" s="30"/>
      <c r="B94" s="30"/>
      <c r="C94" s="30"/>
      <c r="D94" s="30"/>
      <c r="E94" s="30"/>
      <c r="F94" s="30"/>
      <c r="G94" s="30"/>
      <c r="H94" s="27" t="str">
        <f t="shared" ref="H94:H100" si="11">IF(AND(F94="", G94=""), "", SUM($F$12:F94)-SUM($G$12:G94))</f>
        <v/>
      </c>
      <c r="I94" s="30"/>
    </row>
    <row r="95" ht="18.75" customHeight="1">
      <c r="A95" s="31"/>
      <c r="B95" s="31"/>
      <c r="C95" s="31"/>
      <c r="D95" s="31"/>
      <c r="E95" s="31"/>
      <c r="F95" s="31"/>
      <c r="G95" s="31"/>
      <c r="H95" s="23" t="str">
        <f t="shared" si="11"/>
        <v/>
      </c>
      <c r="I95" s="31"/>
    </row>
    <row r="96" ht="18.75" customHeight="1">
      <c r="A96" s="30"/>
      <c r="B96" s="30"/>
      <c r="C96" s="30"/>
      <c r="D96" s="30"/>
      <c r="E96" s="30"/>
      <c r="F96" s="30"/>
      <c r="G96" s="30"/>
      <c r="H96" s="27" t="str">
        <f t="shared" si="11"/>
        <v/>
      </c>
      <c r="I96" s="30"/>
    </row>
    <row r="97" ht="18.75" customHeight="1">
      <c r="A97" s="31"/>
      <c r="B97" s="31"/>
      <c r="C97" s="31"/>
      <c r="D97" s="31"/>
      <c r="E97" s="31"/>
      <c r="F97" s="31"/>
      <c r="G97" s="31"/>
      <c r="H97" s="23" t="str">
        <f t="shared" si="11"/>
        <v/>
      </c>
      <c r="I97" s="31"/>
    </row>
    <row r="98" ht="18.75" customHeight="1">
      <c r="A98" s="30"/>
      <c r="B98" s="30"/>
      <c r="C98" s="30"/>
      <c r="D98" s="30"/>
      <c r="E98" s="30"/>
      <c r="F98" s="30"/>
      <c r="G98" s="30"/>
      <c r="H98" s="27" t="str">
        <f t="shared" si="11"/>
        <v/>
      </c>
      <c r="I98" s="30"/>
    </row>
    <row r="99" ht="18.75" customHeight="1">
      <c r="A99" s="31"/>
      <c r="B99" s="31"/>
      <c r="C99" s="31"/>
      <c r="D99" s="31"/>
      <c r="E99" s="31"/>
      <c r="F99" s="31"/>
      <c r="G99" s="31"/>
      <c r="H99" s="23" t="str">
        <f t="shared" si="11"/>
        <v/>
      </c>
      <c r="I99" s="31"/>
    </row>
    <row r="100" ht="18.75" customHeight="1">
      <c r="A100" s="30"/>
      <c r="B100" s="30"/>
      <c r="C100" s="30"/>
      <c r="D100" s="30"/>
      <c r="E100" s="30"/>
      <c r="F100" s="30"/>
      <c r="G100" s="30"/>
      <c r="H100" s="27" t="str">
        <f t="shared" si="11"/>
        <v/>
      </c>
      <c r="I100" s="30"/>
    </row>
    <row r="101" ht="18.75" customHeight="1">
      <c r="A101" s="31"/>
      <c r="B101" s="31"/>
      <c r="C101" s="31"/>
      <c r="D101" s="31"/>
      <c r="E101" s="31"/>
      <c r="F101" s="31"/>
      <c r="G101" s="31"/>
      <c r="H101" s="23"/>
      <c r="I101" s="31"/>
    </row>
    <row r="102" ht="18.75" customHeight="1">
      <c r="A102" s="30"/>
      <c r="B102" s="30"/>
      <c r="C102" s="30"/>
      <c r="D102" s="30"/>
      <c r="E102" s="30"/>
      <c r="F102" s="30"/>
      <c r="G102" s="30"/>
      <c r="H102" s="27" t="str">
        <f t="shared" ref="H102:H108" si="12">IF(AND(F102="", G102=""), "", SUM($F$12:F102)-SUM($G$12:G102))</f>
        <v/>
      </c>
      <c r="I102" s="30"/>
    </row>
    <row r="103" ht="18.75" customHeight="1">
      <c r="A103" s="31"/>
      <c r="B103" s="31"/>
      <c r="C103" s="31"/>
      <c r="D103" s="31"/>
      <c r="E103" s="31"/>
      <c r="F103" s="31"/>
      <c r="G103" s="31"/>
      <c r="H103" s="23" t="str">
        <f t="shared" si="12"/>
        <v/>
      </c>
      <c r="I103" s="31"/>
    </row>
    <row r="104" ht="18.75" customHeight="1">
      <c r="A104" s="30"/>
      <c r="B104" s="30"/>
      <c r="C104" s="30"/>
      <c r="D104" s="30"/>
      <c r="E104" s="30"/>
      <c r="F104" s="30"/>
      <c r="G104" s="30"/>
      <c r="H104" s="27" t="str">
        <f t="shared" si="12"/>
        <v/>
      </c>
      <c r="I104" s="30"/>
    </row>
    <row r="105" ht="18.75" customHeight="1">
      <c r="A105" s="31"/>
      <c r="B105" s="31"/>
      <c r="C105" s="31"/>
      <c r="D105" s="31"/>
      <c r="E105" s="31"/>
      <c r="F105" s="31"/>
      <c r="G105" s="31"/>
      <c r="H105" s="23" t="str">
        <f t="shared" si="12"/>
        <v/>
      </c>
      <c r="I105" s="31"/>
    </row>
    <row r="106" ht="18.75" customHeight="1">
      <c r="A106" s="30"/>
      <c r="B106" s="30"/>
      <c r="C106" s="30"/>
      <c r="D106" s="30"/>
      <c r="E106" s="30"/>
      <c r="F106" s="30"/>
      <c r="G106" s="30"/>
      <c r="H106" s="27" t="str">
        <f t="shared" si="12"/>
        <v/>
      </c>
      <c r="I106" s="30"/>
    </row>
    <row r="107" ht="18.75" customHeight="1">
      <c r="A107" s="31"/>
      <c r="B107" s="31"/>
      <c r="C107" s="31"/>
      <c r="D107" s="31"/>
      <c r="E107" s="31"/>
      <c r="F107" s="31"/>
      <c r="G107" s="31"/>
      <c r="H107" s="23" t="str">
        <f t="shared" si="12"/>
        <v/>
      </c>
      <c r="I107" s="31"/>
    </row>
    <row r="108" ht="18.75" customHeight="1">
      <c r="A108" s="30"/>
      <c r="B108" s="30"/>
      <c r="C108" s="30"/>
      <c r="D108" s="30"/>
      <c r="E108" s="30"/>
      <c r="F108" s="30"/>
      <c r="G108" s="30"/>
      <c r="H108" s="27" t="str">
        <f t="shared" si="12"/>
        <v/>
      </c>
      <c r="I108" s="30"/>
    </row>
    <row r="109" ht="18.75" customHeight="1">
      <c r="A109" s="31"/>
      <c r="B109" s="31"/>
      <c r="C109" s="31"/>
      <c r="D109" s="31"/>
      <c r="E109" s="31"/>
      <c r="F109" s="31"/>
      <c r="G109" s="31"/>
      <c r="H109" s="23"/>
      <c r="I109" s="31"/>
    </row>
    <row r="110" ht="18.75" customHeight="1">
      <c r="A110" s="30"/>
      <c r="B110" s="30"/>
      <c r="C110" s="30"/>
      <c r="D110" s="30"/>
      <c r="E110" s="30"/>
      <c r="F110" s="30"/>
      <c r="G110" s="30"/>
      <c r="H110" s="27" t="str">
        <f t="shared" ref="H110:H116" si="13">IF(AND(F110="", G110=""), "", SUM($F$12:F110)-SUM($G$12:G110))</f>
        <v/>
      </c>
      <c r="I110" s="30"/>
    </row>
    <row r="111" ht="18.75" customHeight="1">
      <c r="A111" s="31"/>
      <c r="B111" s="31"/>
      <c r="C111" s="31"/>
      <c r="D111" s="31"/>
      <c r="E111" s="31"/>
      <c r="F111" s="31"/>
      <c r="G111" s="31"/>
      <c r="H111" s="23" t="str">
        <f t="shared" si="13"/>
        <v/>
      </c>
      <c r="I111" s="31"/>
    </row>
    <row r="112" ht="18.75" customHeight="1">
      <c r="A112" s="30"/>
      <c r="B112" s="30"/>
      <c r="C112" s="30"/>
      <c r="D112" s="30"/>
      <c r="E112" s="30"/>
      <c r="F112" s="30"/>
      <c r="G112" s="30"/>
      <c r="H112" s="27" t="str">
        <f t="shared" si="13"/>
        <v/>
      </c>
      <c r="I112" s="30"/>
    </row>
    <row r="113" ht="18.75" customHeight="1">
      <c r="A113" s="31"/>
      <c r="B113" s="31"/>
      <c r="C113" s="31"/>
      <c r="D113" s="31"/>
      <c r="E113" s="31"/>
      <c r="F113" s="31"/>
      <c r="G113" s="31"/>
      <c r="H113" s="23" t="str">
        <f t="shared" si="13"/>
        <v/>
      </c>
      <c r="I113" s="31"/>
    </row>
    <row r="114" ht="18.75" customHeight="1">
      <c r="A114" s="30"/>
      <c r="B114" s="30"/>
      <c r="C114" s="30"/>
      <c r="D114" s="30"/>
      <c r="E114" s="30"/>
      <c r="F114" s="30"/>
      <c r="G114" s="30"/>
      <c r="H114" s="27" t="str">
        <f t="shared" si="13"/>
        <v/>
      </c>
      <c r="I114" s="30"/>
    </row>
    <row r="115" ht="18.75" customHeight="1">
      <c r="A115" s="31"/>
      <c r="B115" s="31"/>
      <c r="C115" s="31"/>
      <c r="D115" s="31"/>
      <c r="E115" s="31"/>
      <c r="F115" s="31"/>
      <c r="G115" s="31"/>
      <c r="H115" s="23" t="str">
        <f t="shared" si="13"/>
        <v/>
      </c>
      <c r="I115" s="31"/>
    </row>
    <row r="116" ht="18.75" customHeight="1">
      <c r="A116" s="30"/>
      <c r="B116" s="30"/>
      <c r="C116" s="30"/>
      <c r="D116" s="30"/>
      <c r="E116" s="30"/>
      <c r="F116" s="30"/>
      <c r="G116" s="30"/>
      <c r="H116" s="27" t="str">
        <f t="shared" si="13"/>
        <v/>
      </c>
      <c r="I116" s="30"/>
    </row>
    <row r="117" ht="18.75" customHeight="1">
      <c r="A117" s="31"/>
      <c r="B117" s="31"/>
      <c r="C117" s="31"/>
      <c r="D117" s="31"/>
      <c r="E117" s="31"/>
      <c r="F117" s="31"/>
      <c r="G117" s="31"/>
      <c r="H117" s="23"/>
      <c r="I117" s="31"/>
    </row>
    <row r="118" ht="18.75" customHeight="1">
      <c r="A118" s="30"/>
      <c r="B118" s="30"/>
      <c r="C118" s="30"/>
      <c r="D118" s="30"/>
      <c r="E118" s="30"/>
      <c r="F118" s="30"/>
      <c r="G118" s="30"/>
      <c r="H118" s="27" t="str">
        <f t="shared" ref="H118:H124" si="14">IF(AND(F118="", G118=""), "", SUM($F$12:F118)-SUM($G$12:G118))</f>
        <v/>
      </c>
      <c r="I118" s="30"/>
    </row>
    <row r="119" ht="18.75" customHeight="1">
      <c r="A119" s="31"/>
      <c r="B119" s="31"/>
      <c r="C119" s="31"/>
      <c r="D119" s="31"/>
      <c r="E119" s="31"/>
      <c r="F119" s="31"/>
      <c r="G119" s="31"/>
      <c r="H119" s="23" t="str">
        <f t="shared" si="14"/>
        <v/>
      </c>
      <c r="I119" s="31"/>
    </row>
    <row r="120" ht="18.75" customHeight="1">
      <c r="A120" s="30"/>
      <c r="B120" s="30"/>
      <c r="C120" s="30"/>
      <c r="D120" s="30"/>
      <c r="E120" s="30"/>
      <c r="F120" s="30"/>
      <c r="G120" s="30"/>
      <c r="H120" s="27" t="str">
        <f t="shared" si="14"/>
        <v/>
      </c>
      <c r="I120" s="30"/>
    </row>
    <row r="121" ht="18.75" customHeight="1">
      <c r="A121" s="31"/>
      <c r="B121" s="31"/>
      <c r="C121" s="31"/>
      <c r="D121" s="31"/>
      <c r="E121" s="31"/>
      <c r="F121" s="31"/>
      <c r="G121" s="31"/>
      <c r="H121" s="23" t="str">
        <f t="shared" si="14"/>
        <v/>
      </c>
      <c r="I121" s="31"/>
    </row>
    <row r="122" ht="18.75" customHeight="1">
      <c r="A122" s="30"/>
      <c r="B122" s="30"/>
      <c r="C122" s="30"/>
      <c r="D122" s="30"/>
      <c r="E122" s="30"/>
      <c r="F122" s="30"/>
      <c r="G122" s="30"/>
      <c r="H122" s="27" t="str">
        <f t="shared" si="14"/>
        <v/>
      </c>
      <c r="I122" s="30"/>
    </row>
    <row r="123" ht="18.75" customHeight="1">
      <c r="A123" s="31"/>
      <c r="B123" s="31"/>
      <c r="C123" s="31"/>
      <c r="D123" s="31"/>
      <c r="E123" s="31"/>
      <c r="F123" s="31"/>
      <c r="G123" s="31"/>
      <c r="H123" s="23" t="str">
        <f t="shared" si="14"/>
        <v/>
      </c>
      <c r="I123" s="31"/>
    </row>
    <row r="124" ht="18.75" customHeight="1">
      <c r="A124" s="30"/>
      <c r="B124" s="30"/>
      <c r="C124" s="30"/>
      <c r="D124" s="30"/>
      <c r="E124" s="30"/>
      <c r="F124" s="30"/>
      <c r="G124" s="30"/>
      <c r="H124" s="27" t="str">
        <f t="shared" si="14"/>
        <v/>
      </c>
      <c r="I124" s="30"/>
    </row>
    <row r="125" ht="18.75" customHeight="1">
      <c r="A125" s="31"/>
      <c r="B125" s="31"/>
      <c r="C125" s="31"/>
      <c r="D125" s="31"/>
      <c r="E125" s="31"/>
      <c r="F125" s="31"/>
      <c r="G125" s="31"/>
      <c r="H125" s="23"/>
      <c r="I125" s="31"/>
    </row>
    <row r="126" ht="18.75" customHeight="1">
      <c r="A126" s="30"/>
      <c r="B126" s="30"/>
      <c r="C126" s="30"/>
      <c r="D126" s="30"/>
      <c r="E126" s="30"/>
      <c r="F126" s="30"/>
      <c r="G126" s="30"/>
      <c r="H126" s="27" t="str">
        <f t="shared" ref="H126:H132" si="15">IF(AND(F126="", G126=""), "", SUM($F$12:F126)-SUM($G$12:G126))</f>
        <v/>
      </c>
      <c r="I126" s="30"/>
    </row>
    <row r="127" ht="18.75" customHeight="1">
      <c r="A127" s="31"/>
      <c r="B127" s="31"/>
      <c r="C127" s="31"/>
      <c r="D127" s="31"/>
      <c r="E127" s="31"/>
      <c r="F127" s="31"/>
      <c r="G127" s="31"/>
      <c r="H127" s="23" t="str">
        <f t="shared" si="15"/>
        <v/>
      </c>
      <c r="I127" s="31"/>
    </row>
    <row r="128" ht="18.75" customHeight="1">
      <c r="A128" s="30"/>
      <c r="B128" s="30"/>
      <c r="C128" s="30"/>
      <c r="D128" s="30"/>
      <c r="E128" s="30"/>
      <c r="F128" s="30"/>
      <c r="G128" s="30"/>
      <c r="H128" s="27" t="str">
        <f t="shared" si="15"/>
        <v/>
      </c>
      <c r="I128" s="30"/>
    </row>
    <row r="129" ht="18.75" customHeight="1">
      <c r="A129" s="31"/>
      <c r="B129" s="31"/>
      <c r="C129" s="31"/>
      <c r="D129" s="31"/>
      <c r="E129" s="31"/>
      <c r="F129" s="31"/>
      <c r="G129" s="31"/>
      <c r="H129" s="23" t="str">
        <f t="shared" si="15"/>
        <v/>
      </c>
      <c r="I129" s="31"/>
    </row>
    <row r="130" ht="18.75" customHeight="1">
      <c r="A130" s="30"/>
      <c r="B130" s="30"/>
      <c r="C130" s="30"/>
      <c r="D130" s="30"/>
      <c r="E130" s="30"/>
      <c r="F130" s="30"/>
      <c r="G130" s="30"/>
      <c r="H130" s="27" t="str">
        <f t="shared" si="15"/>
        <v/>
      </c>
      <c r="I130" s="30"/>
    </row>
    <row r="131" ht="18.75" customHeight="1">
      <c r="A131" s="31"/>
      <c r="B131" s="31"/>
      <c r="C131" s="31"/>
      <c r="D131" s="31"/>
      <c r="E131" s="31"/>
      <c r="F131" s="31"/>
      <c r="G131" s="31"/>
      <c r="H131" s="23" t="str">
        <f t="shared" si="15"/>
        <v/>
      </c>
      <c r="I131" s="31"/>
    </row>
    <row r="132" ht="18.75" customHeight="1">
      <c r="A132" s="30"/>
      <c r="B132" s="30"/>
      <c r="C132" s="30"/>
      <c r="D132" s="30"/>
      <c r="E132" s="30"/>
      <c r="F132" s="30"/>
      <c r="G132" s="30"/>
      <c r="H132" s="27" t="str">
        <f t="shared" si="15"/>
        <v/>
      </c>
      <c r="I132" s="30"/>
    </row>
    <row r="133" ht="18.75" customHeight="1">
      <c r="A133" s="31"/>
      <c r="B133" s="31"/>
      <c r="C133" s="31"/>
      <c r="D133" s="31"/>
      <c r="E133" s="31"/>
      <c r="F133" s="31"/>
      <c r="G133" s="31"/>
      <c r="H133" s="23"/>
      <c r="I133" s="31"/>
    </row>
    <row r="134" ht="18.75" customHeight="1">
      <c r="A134" s="30"/>
      <c r="B134" s="30"/>
      <c r="C134" s="30"/>
      <c r="D134" s="30"/>
      <c r="E134" s="30"/>
      <c r="F134" s="30"/>
      <c r="G134" s="30"/>
      <c r="H134" s="27" t="str">
        <f t="shared" ref="H134:H140" si="16">IF(AND(F134="", G134=""), "", SUM($F$12:F134)-SUM($G$12:G134))</f>
        <v/>
      </c>
      <c r="I134" s="30"/>
    </row>
    <row r="135" ht="18.75" customHeight="1">
      <c r="A135" s="31"/>
      <c r="B135" s="31"/>
      <c r="C135" s="31"/>
      <c r="D135" s="31"/>
      <c r="E135" s="31"/>
      <c r="F135" s="31"/>
      <c r="G135" s="31"/>
      <c r="H135" s="23" t="str">
        <f t="shared" si="16"/>
        <v/>
      </c>
      <c r="I135" s="31"/>
    </row>
    <row r="136" ht="18.75" customHeight="1">
      <c r="A136" s="30"/>
      <c r="B136" s="30"/>
      <c r="C136" s="30"/>
      <c r="D136" s="30"/>
      <c r="E136" s="30"/>
      <c r="F136" s="30"/>
      <c r="G136" s="30"/>
      <c r="H136" s="27" t="str">
        <f t="shared" si="16"/>
        <v/>
      </c>
      <c r="I136" s="30"/>
    </row>
    <row r="137" ht="18.75" customHeight="1">
      <c r="A137" s="31"/>
      <c r="B137" s="31"/>
      <c r="C137" s="31"/>
      <c r="D137" s="31"/>
      <c r="E137" s="31"/>
      <c r="F137" s="31"/>
      <c r="G137" s="31"/>
      <c r="H137" s="23" t="str">
        <f t="shared" si="16"/>
        <v/>
      </c>
      <c r="I137" s="31"/>
    </row>
    <row r="138" ht="18.75" customHeight="1">
      <c r="A138" s="30"/>
      <c r="B138" s="30"/>
      <c r="C138" s="30"/>
      <c r="D138" s="30"/>
      <c r="E138" s="30"/>
      <c r="F138" s="30"/>
      <c r="G138" s="30"/>
      <c r="H138" s="27" t="str">
        <f t="shared" si="16"/>
        <v/>
      </c>
      <c r="I138" s="30"/>
    </row>
    <row r="139" ht="18.75" customHeight="1">
      <c r="A139" s="31"/>
      <c r="B139" s="31"/>
      <c r="C139" s="31"/>
      <c r="D139" s="31"/>
      <c r="E139" s="31"/>
      <c r="F139" s="31"/>
      <c r="G139" s="31"/>
      <c r="H139" s="23" t="str">
        <f t="shared" si="16"/>
        <v/>
      </c>
      <c r="I139" s="31"/>
    </row>
    <row r="140" ht="18.75" customHeight="1">
      <c r="A140" s="30"/>
      <c r="B140" s="30"/>
      <c r="C140" s="30"/>
      <c r="D140" s="30"/>
      <c r="E140" s="30"/>
      <c r="F140" s="30"/>
      <c r="G140" s="30"/>
      <c r="H140" s="27" t="str">
        <f t="shared" si="16"/>
        <v/>
      </c>
      <c r="I140" s="30"/>
    </row>
    <row r="141" ht="18.75" customHeight="1">
      <c r="A141" s="31"/>
      <c r="B141" s="31"/>
      <c r="C141" s="31"/>
      <c r="D141" s="31"/>
      <c r="E141" s="31"/>
      <c r="F141" s="31"/>
      <c r="G141" s="31"/>
      <c r="H141" s="23"/>
      <c r="I141" s="31"/>
    </row>
    <row r="142" ht="18.75" customHeight="1">
      <c r="A142" s="30"/>
      <c r="B142" s="30"/>
      <c r="C142" s="30"/>
      <c r="D142" s="30"/>
      <c r="E142" s="30"/>
      <c r="F142" s="30"/>
      <c r="G142" s="30"/>
      <c r="H142" s="27" t="str">
        <f t="shared" ref="H142:H148" si="17">IF(AND(F142="", G142=""), "", SUM($F$12:F142)-SUM($G$12:G142))</f>
        <v/>
      </c>
      <c r="I142" s="30"/>
    </row>
    <row r="143" ht="18.75" customHeight="1">
      <c r="A143" s="31"/>
      <c r="B143" s="31"/>
      <c r="C143" s="31"/>
      <c r="D143" s="31"/>
      <c r="E143" s="31"/>
      <c r="F143" s="31"/>
      <c r="G143" s="31"/>
      <c r="H143" s="23" t="str">
        <f t="shared" si="17"/>
        <v/>
      </c>
      <c r="I143" s="31"/>
    </row>
    <row r="144" ht="18.75" customHeight="1">
      <c r="A144" s="30"/>
      <c r="B144" s="30"/>
      <c r="C144" s="30"/>
      <c r="D144" s="30"/>
      <c r="E144" s="30"/>
      <c r="F144" s="30"/>
      <c r="G144" s="30"/>
      <c r="H144" s="27" t="str">
        <f t="shared" si="17"/>
        <v/>
      </c>
      <c r="I144" s="30"/>
    </row>
    <row r="145" ht="18.75" customHeight="1">
      <c r="A145" s="31"/>
      <c r="B145" s="31"/>
      <c r="C145" s="31"/>
      <c r="D145" s="31"/>
      <c r="E145" s="31"/>
      <c r="F145" s="31"/>
      <c r="G145" s="31"/>
      <c r="H145" s="23" t="str">
        <f t="shared" si="17"/>
        <v/>
      </c>
      <c r="I145" s="31"/>
    </row>
    <row r="146" ht="18.75" customHeight="1">
      <c r="A146" s="30"/>
      <c r="B146" s="30"/>
      <c r="C146" s="30"/>
      <c r="D146" s="30"/>
      <c r="E146" s="30"/>
      <c r="F146" s="30"/>
      <c r="G146" s="30"/>
      <c r="H146" s="27" t="str">
        <f t="shared" si="17"/>
        <v/>
      </c>
      <c r="I146" s="30"/>
    </row>
    <row r="147" ht="18.75" customHeight="1">
      <c r="A147" s="31"/>
      <c r="B147" s="31"/>
      <c r="C147" s="31"/>
      <c r="D147" s="31"/>
      <c r="E147" s="31"/>
      <c r="F147" s="31"/>
      <c r="G147" s="31"/>
      <c r="H147" s="23" t="str">
        <f t="shared" si="17"/>
        <v/>
      </c>
      <c r="I147" s="31"/>
    </row>
    <row r="148" ht="18.75" customHeight="1">
      <c r="A148" s="30"/>
      <c r="B148" s="30"/>
      <c r="C148" s="30"/>
      <c r="D148" s="30"/>
      <c r="E148" s="30"/>
      <c r="F148" s="30"/>
      <c r="G148" s="30"/>
      <c r="H148" s="27" t="str">
        <f t="shared" si="17"/>
        <v/>
      </c>
      <c r="I148" s="30"/>
    </row>
    <row r="149" ht="18.75" customHeight="1">
      <c r="A149" s="31"/>
      <c r="B149" s="31"/>
      <c r="C149" s="31"/>
      <c r="D149" s="31"/>
      <c r="E149" s="31"/>
      <c r="F149" s="31"/>
      <c r="G149" s="31"/>
      <c r="H149" s="23"/>
      <c r="I149" s="31"/>
    </row>
    <row r="150" ht="18.75" customHeight="1">
      <c r="A150" s="30"/>
      <c r="B150" s="30"/>
      <c r="C150" s="30"/>
      <c r="D150" s="30"/>
      <c r="E150" s="30"/>
      <c r="F150" s="30"/>
      <c r="G150" s="30"/>
      <c r="H150" s="27" t="str">
        <f t="shared" ref="H150:H156" si="18">IF(AND(F150="", G150=""), "", SUM($F$12:F150)-SUM($G$12:G150))</f>
        <v/>
      </c>
      <c r="I150" s="30"/>
    </row>
    <row r="151" ht="18.75" customHeight="1">
      <c r="A151" s="31"/>
      <c r="B151" s="31"/>
      <c r="C151" s="31"/>
      <c r="D151" s="31"/>
      <c r="E151" s="31"/>
      <c r="F151" s="31"/>
      <c r="G151" s="31"/>
      <c r="H151" s="23" t="str">
        <f t="shared" si="18"/>
        <v/>
      </c>
      <c r="I151" s="31"/>
    </row>
    <row r="152" ht="18.75" customHeight="1">
      <c r="A152" s="30"/>
      <c r="B152" s="30"/>
      <c r="C152" s="30"/>
      <c r="D152" s="30"/>
      <c r="E152" s="30"/>
      <c r="F152" s="30"/>
      <c r="G152" s="30"/>
      <c r="H152" s="27" t="str">
        <f t="shared" si="18"/>
        <v/>
      </c>
      <c r="I152" s="30"/>
    </row>
    <row r="153" ht="18.75" customHeight="1">
      <c r="A153" s="31"/>
      <c r="B153" s="31"/>
      <c r="C153" s="31"/>
      <c r="D153" s="31"/>
      <c r="E153" s="31"/>
      <c r="F153" s="31"/>
      <c r="G153" s="31"/>
      <c r="H153" s="23" t="str">
        <f t="shared" si="18"/>
        <v/>
      </c>
      <c r="I153" s="31"/>
    </row>
    <row r="154" ht="18.75" customHeight="1">
      <c r="A154" s="30"/>
      <c r="B154" s="30"/>
      <c r="C154" s="30"/>
      <c r="D154" s="30"/>
      <c r="E154" s="30"/>
      <c r="F154" s="30"/>
      <c r="G154" s="30"/>
      <c r="H154" s="27" t="str">
        <f t="shared" si="18"/>
        <v/>
      </c>
      <c r="I154" s="30"/>
    </row>
    <row r="155" ht="18.75" customHeight="1">
      <c r="A155" s="31"/>
      <c r="B155" s="31"/>
      <c r="C155" s="31"/>
      <c r="D155" s="31"/>
      <c r="E155" s="31"/>
      <c r="F155" s="31"/>
      <c r="G155" s="31"/>
      <c r="H155" s="23" t="str">
        <f t="shared" si="18"/>
        <v/>
      </c>
      <c r="I155" s="31"/>
    </row>
    <row r="156" ht="18.75" customHeight="1">
      <c r="A156" s="30"/>
      <c r="B156" s="30"/>
      <c r="C156" s="30"/>
      <c r="D156" s="30"/>
      <c r="E156" s="30"/>
      <c r="F156" s="30"/>
      <c r="G156" s="30"/>
      <c r="H156" s="27" t="str">
        <f t="shared" si="18"/>
        <v/>
      </c>
      <c r="I156" s="30"/>
    </row>
    <row r="157" ht="18.75" customHeight="1">
      <c r="A157" s="31"/>
      <c r="B157" s="31"/>
      <c r="C157" s="31"/>
      <c r="D157" s="31"/>
      <c r="E157" s="31"/>
      <c r="F157" s="31"/>
      <c r="G157" s="31"/>
      <c r="H157" s="23"/>
      <c r="I157" s="31"/>
    </row>
    <row r="158" ht="18.75" customHeight="1">
      <c r="A158" s="30"/>
      <c r="B158" s="30"/>
      <c r="C158" s="30"/>
      <c r="D158" s="30"/>
      <c r="E158" s="30"/>
      <c r="F158" s="30"/>
      <c r="G158" s="30"/>
      <c r="H158" s="27" t="str">
        <f t="shared" ref="H158:H164" si="19">IF(AND(F158="", G158=""), "", SUM($F$12:F158)-SUM($G$12:G158))</f>
        <v/>
      </c>
      <c r="I158" s="30"/>
    </row>
    <row r="159" ht="18.75" customHeight="1">
      <c r="A159" s="31"/>
      <c r="B159" s="31"/>
      <c r="C159" s="31"/>
      <c r="D159" s="31"/>
      <c r="E159" s="31"/>
      <c r="F159" s="31"/>
      <c r="G159" s="31"/>
      <c r="H159" s="23" t="str">
        <f t="shared" si="19"/>
        <v/>
      </c>
      <c r="I159" s="31"/>
    </row>
    <row r="160" ht="18.75" customHeight="1">
      <c r="A160" s="30"/>
      <c r="B160" s="30"/>
      <c r="C160" s="30"/>
      <c r="D160" s="30"/>
      <c r="E160" s="30"/>
      <c r="F160" s="30"/>
      <c r="G160" s="30"/>
      <c r="H160" s="27" t="str">
        <f t="shared" si="19"/>
        <v/>
      </c>
      <c r="I160" s="30"/>
    </row>
    <row r="161" ht="18.75" customHeight="1">
      <c r="A161" s="31"/>
      <c r="B161" s="31"/>
      <c r="C161" s="31"/>
      <c r="D161" s="31"/>
      <c r="E161" s="31"/>
      <c r="F161" s="31"/>
      <c r="G161" s="31"/>
      <c r="H161" s="23" t="str">
        <f t="shared" si="19"/>
        <v/>
      </c>
      <c r="I161" s="31"/>
    </row>
    <row r="162" ht="18.75" customHeight="1">
      <c r="A162" s="30"/>
      <c r="B162" s="30"/>
      <c r="C162" s="30"/>
      <c r="D162" s="30"/>
      <c r="E162" s="30"/>
      <c r="F162" s="30"/>
      <c r="G162" s="30"/>
      <c r="H162" s="27" t="str">
        <f t="shared" si="19"/>
        <v/>
      </c>
      <c r="I162" s="30"/>
    </row>
    <row r="163" ht="18.75" customHeight="1">
      <c r="A163" s="31"/>
      <c r="B163" s="31"/>
      <c r="C163" s="31"/>
      <c r="D163" s="31"/>
      <c r="E163" s="31"/>
      <c r="F163" s="31"/>
      <c r="G163" s="31"/>
      <c r="H163" s="23" t="str">
        <f t="shared" si="19"/>
        <v/>
      </c>
      <c r="I163" s="31"/>
    </row>
    <row r="164" ht="18.75" customHeight="1">
      <c r="A164" s="30"/>
      <c r="B164" s="30"/>
      <c r="C164" s="30"/>
      <c r="D164" s="30"/>
      <c r="E164" s="30"/>
      <c r="F164" s="30"/>
      <c r="G164" s="30"/>
      <c r="H164" s="27" t="str">
        <f t="shared" si="19"/>
        <v/>
      </c>
      <c r="I164" s="30"/>
    </row>
    <row r="165" ht="18.75" customHeight="1">
      <c r="A165" s="31"/>
      <c r="B165" s="31"/>
      <c r="C165" s="31"/>
      <c r="D165" s="31"/>
      <c r="E165" s="31"/>
      <c r="F165" s="31"/>
      <c r="G165" s="31"/>
      <c r="H165" s="23"/>
      <c r="I165" s="31"/>
    </row>
    <row r="166" ht="18.75" customHeight="1">
      <c r="A166" s="30"/>
      <c r="B166" s="30"/>
      <c r="C166" s="30"/>
      <c r="D166" s="30"/>
      <c r="E166" s="30"/>
      <c r="F166" s="30"/>
      <c r="G166" s="30"/>
      <c r="H166" s="27" t="str">
        <f t="shared" ref="H166:H172" si="20">IF(AND(F166="", G166=""), "", SUM($F$12:F166)-SUM($G$12:G166))</f>
        <v/>
      </c>
      <c r="I166" s="30"/>
    </row>
    <row r="167" ht="18.75" customHeight="1">
      <c r="A167" s="31"/>
      <c r="B167" s="31"/>
      <c r="C167" s="31"/>
      <c r="D167" s="31"/>
      <c r="E167" s="31"/>
      <c r="F167" s="31"/>
      <c r="G167" s="31"/>
      <c r="H167" s="23" t="str">
        <f t="shared" si="20"/>
        <v/>
      </c>
      <c r="I167" s="31"/>
    </row>
    <row r="168" ht="18.75" customHeight="1">
      <c r="A168" s="30"/>
      <c r="B168" s="30"/>
      <c r="C168" s="30"/>
      <c r="D168" s="30"/>
      <c r="E168" s="30"/>
      <c r="F168" s="30"/>
      <c r="G168" s="30"/>
      <c r="H168" s="27" t="str">
        <f t="shared" si="20"/>
        <v/>
      </c>
      <c r="I168" s="30"/>
    </row>
    <row r="169" ht="18.75" customHeight="1">
      <c r="A169" s="31"/>
      <c r="B169" s="31"/>
      <c r="C169" s="31"/>
      <c r="D169" s="31"/>
      <c r="E169" s="31"/>
      <c r="F169" s="31"/>
      <c r="G169" s="31"/>
      <c r="H169" s="23" t="str">
        <f t="shared" si="20"/>
        <v/>
      </c>
      <c r="I169" s="31"/>
    </row>
    <row r="170" ht="18.75" customHeight="1">
      <c r="A170" s="30"/>
      <c r="B170" s="30"/>
      <c r="C170" s="30"/>
      <c r="D170" s="30"/>
      <c r="E170" s="30"/>
      <c r="F170" s="30"/>
      <c r="G170" s="30"/>
      <c r="H170" s="27" t="str">
        <f t="shared" si="20"/>
        <v/>
      </c>
      <c r="I170" s="30"/>
    </row>
    <row r="171" ht="18.75" customHeight="1">
      <c r="A171" s="31"/>
      <c r="B171" s="31"/>
      <c r="C171" s="31"/>
      <c r="D171" s="31"/>
      <c r="E171" s="31"/>
      <c r="F171" s="31"/>
      <c r="G171" s="31"/>
      <c r="H171" s="23" t="str">
        <f t="shared" si="20"/>
        <v/>
      </c>
      <c r="I171" s="31"/>
    </row>
    <row r="172" ht="18.75" customHeight="1">
      <c r="A172" s="30"/>
      <c r="B172" s="30"/>
      <c r="C172" s="30"/>
      <c r="D172" s="30"/>
      <c r="E172" s="30"/>
      <c r="F172" s="30"/>
      <c r="G172" s="30"/>
      <c r="H172" s="27" t="str">
        <f t="shared" si="20"/>
        <v/>
      </c>
      <c r="I172" s="30"/>
    </row>
    <row r="173" ht="18.75" customHeight="1">
      <c r="A173" s="31"/>
      <c r="B173" s="31"/>
      <c r="C173" s="31"/>
      <c r="D173" s="31"/>
      <c r="E173" s="31"/>
      <c r="F173" s="31"/>
      <c r="G173" s="31"/>
      <c r="H173" s="23"/>
      <c r="I173" s="31"/>
    </row>
    <row r="174" ht="18.75" customHeight="1">
      <c r="A174" s="30"/>
      <c r="B174" s="30"/>
      <c r="C174" s="30"/>
      <c r="D174" s="30"/>
      <c r="E174" s="30"/>
      <c r="F174" s="30"/>
      <c r="G174" s="30"/>
      <c r="H174" s="27" t="str">
        <f t="shared" ref="H174:H180" si="21">IF(AND(F174="", G174=""), "", SUM($F$12:F174)-SUM($G$12:G174))</f>
        <v/>
      </c>
      <c r="I174" s="30"/>
    </row>
    <row r="175" ht="18.75" customHeight="1">
      <c r="A175" s="31"/>
      <c r="B175" s="31"/>
      <c r="C175" s="31"/>
      <c r="D175" s="31"/>
      <c r="E175" s="31"/>
      <c r="F175" s="31"/>
      <c r="G175" s="31"/>
      <c r="H175" s="23" t="str">
        <f t="shared" si="21"/>
        <v/>
      </c>
      <c r="I175" s="31"/>
    </row>
    <row r="176" ht="18.75" customHeight="1">
      <c r="A176" s="30"/>
      <c r="B176" s="30"/>
      <c r="C176" s="30"/>
      <c r="D176" s="30"/>
      <c r="E176" s="30"/>
      <c r="F176" s="30"/>
      <c r="G176" s="30"/>
      <c r="H176" s="27" t="str">
        <f t="shared" si="21"/>
        <v/>
      </c>
      <c r="I176" s="30"/>
    </row>
    <row r="177" ht="18.75" customHeight="1">
      <c r="A177" s="31"/>
      <c r="B177" s="31"/>
      <c r="C177" s="31"/>
      <c r="D177" s="31"/>
      <c r="E177" s="31"/>
      <c r="F177" s="31"/>
      <c r="G177" s="31"/>
      <c r="H177" s="23" t="str">
        <f t="shared" si="21"/>
        <v/>
      </c>
      <c r="I177" s="31"/>
    </row>
    <row r="178" ht="18.75" customHeight="1">
      <c r="A178" s="30"/>
      <c r="B178" s="30"/>
      <c r="C178" s="30"/>
      <c r="D178" s="30"/>
      <c r="E178" s="30"/>
      <c r="F178" s="30"/>
      <c r="G178" s="30"/>
      <c r="H178" s="27" t="str">
        <f t="shared" si="21"/>
        <v/>
      </c>
      <c r="I178" s="30"/>
    </row>
    <row r="179" ht="18.75" customHeight="1">
      <c r="A179" s="31"/>
      <c r="B179" s="31"/>
      <c r="C179" s="31"/>
      <c r="D179" s="31"/>
      <c r="E179" s="31"/>
      <c r="F179" s="31"/>
      <c r="G179" s="31"/>
      <c r="H179" s="23" t="str">
        <f t="shared" si="21"/>
        <v/>
      </c>
      <c r="I179" s="31"/>
    </row>
    <row r="180" ht="18.75" customHeight="1">
      <c r="A180" s="30"/>
      <c r="B180" s="30"/>
      <c r="C180" s="30"/>
      <c r="D180" s="30"/>
      <c r="E180" s="30"/>
      <c r="F180" s="30"/>
      <c r="G180" s="30"/>
      <c r="H180" s="27" t="str">
        <f t="shared" si="21"/>
        <v/>
      </c>
      <c r="I180" s="30"/>
    </row>
    <row r="181" ht="18.75" customHeight="1">
      <c r="A181" s="31"/>
      <c r="B181" s="31"/>
      <c r="C181" s="31"/>
      <c r="D181" s="31"/>
      <c r="E181" s="31"/>
      <c r="F181" s="31"/>
      <c r="G181" s="31"/>
      <c r="H181" s="23"/>
      <c r="I181" s="31"/>
    </row>
    <row r="182" ht="18.75" customHeight="1">
      <c r="A182" s="30"/>
      <c r="B182" s="30"/>
      <c r="C182" s="30"/>
      <c r="D182" s="30"/>
      <c r="E182" s="30"/>
      <c r="F182" s="30"/>
      <c r="G182" s="30"/>
      <c r="H182" s="27" t="str">
        <f t="shared" ref="H182:H188" si="22">IF(AND(F182="", G182=""), "", SUM($F$12:F182)-SUM($G$12:G182))</f>
        <v/>
      </c>
      <c r="I182" s="30"/>
    </row>
    <row r="183" ht="18.75" customHeight="1">
      <c r="A183" s="31"/>
      <c r="B183" s="31"/>
      <c r="C183" s="31"/>
      <c r="D183" s="31"/>
      <c r="E183" s="31"/>
      <c r="F183" s="31"/>
      <c r="G183" s="31"/>
      <c r="H183" s="23" t="str">
        <f t="shared" si="22"/>
        <v/>
      </c>
      <c r="I183" s="31"/>
    </row>
    <row r="184" ht="18.75" customHeight="1">
      <c r="A184" s="30"/>
      <c r="B184" s="30"/>
      <c r="C184" s="30"/>
      <c r="D184" s="30"/>
      <c r="E184" s="30"/>
      <c r="F184" s="30"/>
      <c r="G184" s="30"/>
      <c r="H184" s="27" t="str">
        <f t="shared" si="22"/>
        <v/>
      </c>
      <c r="I184" s="30"/>
    </row>
    <row r="185" ht="18.75" customHeight="1">
      <c r="A185" s="31"/>
      <c r="B185" s="31"/>
      <c r="C185" s="31"/>
      <c r="D185" s="31"/>
      <c r="E185" s="31"/>
      <c r="F185" s="31"/>
      <c r="G185" s="31"/>
      <c r="H185" s="23" t="str">
        <f t="shared" si="22"/>
        <v/>
      </c>
      <c r="I185" s="31"/>
    </row>
    <row r="186" ht="18.75" customHeight="1">
      <c r="A186" s="30"/>
      <c r="B186" s="30"/>
      <c r="C186" s="30"/>
      <c r="D186" s="30"/>
      <c r="E186" s="30"/>
      <c r="F186" s="30"/>
      <c r="G186" s="30"/>
      <c r="H186" s="27" t="str">
        <f t="shared" si="22"/>
        <v/>
      </c>
      <c r="I186" s="30"/>
    </row>
    <row r="187" ht="18.75" customHeight="1">
      <c r="A187" s="31"/>
      <c r="B187" s="31"/>
      <c r="C187" s="31"/>
      <c r="D187" s="31"/>
      <c r="E187" s="31"/>
      <c r="F187" s="31"/>
      <c r="G187" s="31"/>
      <c r="H187" s="23" t="str">
        <f t="shared" si="22"/>
        <v/>
      </c>
      <c r="I187" s="31"/>
    </row>
    <row r="188" ht="18.75" customHeight="1">
      <c r="A188" s="30"/>
      <c r="B188" s="30"/>
      <c r="C188" s="30"/>
      <c r="D188" s="30"/>
      <c r="E188" s="30"/>
      <c r="F188" s="30"/>
      <c r="G188" s="30"/>
      <c r="H188" s="27" t="str">
        <f t="shared" si="22"/>
        <v/>
      </c>
      <c r="I188" s="30"/>
    </row>
    <row r="189" ht="18.75" customHeight="1">
      <c r="A189" s="31"/>
      <c r="B189" s="31"/>
      <c r="C189" s="31"/>
      <c r="D189" s="31"/>
      <c r="E189" s="31"/>
      <c r="F189" s="31"/>
      <c r="G189" s="31"/>
      <c r="H189" s="23"/>
      <c r="I189" s="31"/>
    </row>
    <row r="190" ht="18.75" customHeight="1">
      <c r="A190" s="30"/>
      <c r="B190" s="30"/>
      <c r="C190" s="30"/>
      <c r="D190" s="30"/>
      <c r="E190" s="30"/>
      <c r="F190" s="30"/>
      <c r="G190" s="30"/>
      <c r="H190" s="27" t="str">
        <f t="shared" ref="H190:H196" si="23">IF(AND(F190="", G190=""), "", SUM($F$12:F190)-SUM($G$12:G190))</f>
        <v/>
      </c>
      <c r="I190" s="30"/>
    </row>
    <row r="191" ht="18.75" customHeight="1">
      <c r="A191" s="31"/>
      <c r="B191" s="31"/>
      <c r="C191" s="31"/>
      <c r="D191" s="31"/>
      <c r="E191" s="31"/>
      <c r="F191" s="31"/>
      <c r="G191" s="31"/>
      <c r="H191" s="23" t="str">
        <f t="shared" si="23"/>
        <v/>
      </c>
      <c r="I191" s="31"/>
    </row>
    <row r="192" ht="18.75" customHeight="1">
      <c r="A192" s="30"/>
      <c r="B192" s="30"/>
      <c r="C192" s="30"/>
      <c r="D192" s="30"/>
      <c r="E192" s="30"/>
      <c r="F192" s="30"/>
      <c r="G192" s="30"/>
      <c r="H192" s="27" t="str">
        <f t="shared" si="23"/>
        <v/>
      </c>
      <c r="I192" s="30"/>
    </row>
    <row r="193" ht="18.75" customHeight="1">
      <c r="A193" s="31"/>
      <c r="B193" s="31"/>
      <c r="C193" s="31"/>
      <c r="D193" s="31"/>
      <c r="E193" s="31"/>
      <c r="F193" s="31"/>
      <c r="G193" s="31"/>
      <c r="H193" s="23" t="str">
        <f t="shared" si="23"/>
        <v/>
      </c>
      <c r="I193" s="31"/>
    </row>
    <row r="194" ht="18.75" customHeight="1">
      <c r="A194" s="30"/>
      <c r="B194" s="30"/>
      <c r="C194" s="30"/>
      <c r="D194" s="30"/>
      <c r="E194" s="30"/>
      <c r="F194" s="30"/>
      <c r="G194" s="30"/>
      <c r="H194" s="27" t="str">
        <f t="shared" si="23"/>
        <v/>
      </c>
      <c r="I194" s="30"/>
    </row>
    <row r="195" ht="18.75" customHeight="1">
      <c r="A195" s="31"/>
      <c r="B195" s="31"/>
      <c r="C195" s="31"/>
      <c r="D195" s="31"/>
      <c r="E195" s="31"/>
      <c r="F195" s="31"/>
      <c r="G195" s="31"/>
      <c r="H195" s="23" t="str">
        <f t="shared" si="23"/>
        <v/>
      </c>
      <c r="I195" s="31"/>
    </row>
    <row r="196" ht="18.75" customHeight="1">
      <c r="A196" s="30"/>
      <c r="B196" s="30"/>
      <c r="C196" s="30"/>
      <c r="D196" s="30"/>
      <c r="E196" s="30"/>
      <c r="F196" s="30"/>
      <c r="G196" s="30"/>
      <c r="H196" s="27" t="str">
        <f t="shared" si="23"/>
        <v/>
      </c>
      <c r="I196" s="30"/>
    </row>
    <row r="197" ht="18.75" customHeight="1">
      <c r="A197" s="31"/>
      <c r="B197" s="31"/>
      <c r="C197" s="31"/>
      <c r="D197" s="31"/>
      <c r="E197" s="31"/>
      <c r="F197" s="31"/>
      <c r="G197" s="31"/>
      <c r="H197" s="23"/>
      <c r="I197" s="31"/>
    </row>
    <row r="198" ht="18.75" customHeight="1">
      <c r="A198" s="30"/>
      <c r="B198" s="30"/>
      <c r="C198" s="30"/>
      <c r="D198" s="30"/>
      <c r="E198" s="30"/>
      <c r="F198" s="30"/>
      <c r="G198" s="30"/>
      <c r="H198" s="27" t="str">
        <f t="shared" ref="H198:H204" si="24">IF(AND(F198="", G198=""), "", SUM($F$12:F198)-SUM($G$12:G198))</f>
        <v/>
      </c>
      <c r="I198" s="30"/>
    </row>
    <row r="199" ht="18.75" customHeight="1">
      <c r="A199" s="31"/>
      <c r="B199" s="31"/>
      <c r="C199" s="31"/>
      <c r="D199" s="31"/>
      <c r="E199" s="31"/>
      <c r="F199" s="31"/>
      <c r="G199" s="31"/>
      <c r="H199" s="23" t="str">
        <f t="shared" si="24"/>
        <v/>
      </c>
      <c r="I199" s="31"/>
    </row>
    <row r="200" ht="18.75" customHeight="1">
      <c r="A200" s="30"/>
      <c r="B200" s="30"/>
      <c r="C200" s="30"/>
      <c r="D200" s="30"/>
      <c r="E200" s="30"/>
      <c r="F200" s="30"/>
      <c r="G200" s="30"/>
      <c r="H200" s="27" t="str">
        <f t="shared" si="24"/>
        <v/>
      </c>
      <c r="I200" s="30"/>
    </row>
    <row r="201" ht="18.75" customHeight="1">
      <c r="A201" s="31"/>
      <c r="B201" s="31"/>
      <c r="C201" s="31"/>
      <c r="D201" s="31"/>
      <c r="E201" s="31"/>
      <c r="F201" s="31"/>
      <c r="G201" s="31"/>
      <c r="H201" s="23" t="str">
        <f t="shared" si="24"/>
        <v/>
      </c>
      <c r="I201" s="31"/>
    </row>
    <row r="202" ht="18.75" customHeight="1">
      <c r="A202" s="30"/>
      <c r="B202" s="30"/>
      <c r="C202" s="30"/>
      <c r="D202" s="30"/>
      <c r="E202" s="30"/>
      <c r="F202" s="30"/>
      <c r="G202" s="30"/>
      <c r="H202" s="27" t="str">
        <f t="shared" si="24"/>
        <v/>
      </c>
      <c r="I202" s="30"/>
    </row>
    <row r="203" ht="18.75" customHeight="1">
      <c r="A203" s="31"/>
      <c r="B203" s="31"/>
      <c r="C203" s="31"/>
      <c r="D203" s="31"/>
      <c r="E203" s="31"/>
      <c r="F203" s="31"/>
      <c r="G203" s="31"/>
      <c r="H203" s="23" t="str">
        <f t="shared" si="24"/>
        <v/>
      </c>
      <c r="I203" s="31"/>
    </row>
    <row r="204" ht="18.75" customHeight="1">
      <c r="A204" s="30"/>
      <c r="B204" s="30"/>
      <c r="C204" s="30"/>
      <c r="D204" s="30"/>
      <c r="E204" s="30"/>
      <c r="F204" s="30"/>
      <c r="G204" s="30"/>
      <c r="H204" s="27" t="str">
        <f t="shared" si="24"/>
        <v/>
      </c>
      <c r="I204" s="30"/>
    </row>
    <row r="205" ht="18.75" customHeight="1">
      <c r="A205" s="31"/>
      <c r="B205" s="31"/>
      <c r="C205" s="31"/>
      <c r="D205" s="31"/>
      <c r="E205" s="31"/>
      <c r="F205" s="31"/>
      <c r="G205" s="31"/>
      <c r="H205" s="23"/>
      <c r="I205" s="31"/>
    </row>
    <row r="206" ht="18.75" customHeight="1">
      <c r="A206" s="30"/>
      <c r="B206" s="30"/>
      <c r="C206" s="30"/>
      <c r="D206" s="30"/>
      <c r="E206" s="30"/>
      <c r="F206" s="30"/>
      <c r="G206" s="30"/>
      <c r="H206" s="27" t="str">
        <f t="shared" ref="H206:H212" si="25">IF(AND(F206="", G206=""), "", SUM($F$12:F206)-SUM($G$12:G206))</f>
        <v/>
      </c>
      <c r="I206" s="30"/>
    </row>
    <row r="207" ht="18.75" customHeight="1">
      <c r="A207" s="31"/>
      <c r="B207" s="31"/>
      <c r="C207" s="31"/>
      <c r="D207" s="31"/>
      <c r="E207" s="31"/>
      <c r="F207" s="31"/>
      <c r="G207" s="31"/>
      <c r="H207" s="23" t="str">
        <f t="shared" si="25"/>
        <v/>
      </c>
      <c r="I207" s="31"/>
    </row>
    <row r="208" ht="18.75" customHeight="1">
      <c r="A208" s="30"/>
      <c r="B208" s="30"/>
      <c r="C208" s="30"/>
      <c r="D208" s="30"/>
      <c r="E208" s="30"/>
      <c r="F208" s="30"/>
      <c r="G208" s="30"/>
      <c r="H208" s="27" t="str">
        <f t="shared" si="25"/>
        <v/>
      </c>
      <c r="I208" s="30"/>
    </row>
    <row r="209" ht="18.75" customHeight="1">
      <c r="A209" s="31"/>
      <c r="B209" s="31"/>
      <c r="C209" s="31"/>
      <c r="D209" s="31"/>
      <c r="E209" s="31"/>
      <c r="F209" s="31"/>
      <c r="G209" s="31"/>
      <c r="H209" s="23" t="str">
        <f t="shared" si="25"/>
        <v/>
      </c>
      <c r="I209" s="31"/>
    </row>
    <row r="210" ht="18.75" customHeight="1">
      <c r="A210" s="30"/>
      <c r="B210" s="30"/>
      <c r="C210" s="30"/>
      <c r="D210" s="30"/>
      <c r="E210" s="30"/>
      <c r="F210" s="30"/>
      <c r="G210" s="30"/>
      <c r="H210" s="27" t="str">
        <f t="shared" si="25"/>
        <v/>
      </c>
      <c r="I210" s="30"/>
    </row>
    <row r="211" ht="18.75" customHeight="1">
      <c r="A211" s="31"/>
      <c r="B211" s="31"/>
      <c r="C211" s="31"/>
      <c r="D211" s="31"/>
      <c r="E211" s="31"/>
      <c r="F211" s="31"/>
      <c r="G211" s="31"/>
      <c r="H211" s="23" t="str">
        <f t="shared" si="25"/>
        <v/>
      </c>
      <c r="I211" s="31"/>
    </row>
    <row r="212" ht="18.75" customHeight="1">
      <c r="A212" s="30"/>
      <c r="B212" s="30"/>
      <c r="C212" s="30"/>
      <c r="D212" s="30"/>
      <c r="E212" s="30"/>
      <c r="F212" s="30"/>
      <c r="G212" s="30"/>
      <c r="H212" s="27" t="str">
        <f t="shared" si="25"/>
        <v/>
      </c>
      <c r="I212" s="30"/>
    </row>
    <row r="213" ht="18.75" customHeight="1">
      <c r="A213" s="31"/>
      <c r="B213" s="31"/>
      <c r="C213" s="31"/>
      <c r="D213" s="31"/>
      <c r="E213" s="31"/>
      <c r="F213" s="31"/>
      <c r="G213" s="31"/>
      <c r="H213" s="23"/>
      <c r="I213" s="31"/>
    </row>
    <row r="214" ht="18.75" customHeight="1">
      <c r="A214" s="30"/>
      <c r="B214" s="30"/>
      <c r="C214" s="30"/>
      <c r="D214" s="30"/>
      <c r="E214" s="30"/>
      <c r="F214" s="30"/>
      <c r="G214" s="30"/>
      <c r="H214" s="27" t="str">
        <f t="shared" ref="H214:H220" si="26">IF(AND(F214="", G214=""), "", SUM($F$12:F214)-SUM($G$12:G214))</f>
        <v/>
      </c>
      <c r="I214" s="30"/>
    </row>
    <row r="215" ht="18.75" customHeight="1">
      <c r="A215" s="31"/>
      <c r="B215" s="31"/>
      <c r="C215" s="31"/>
      <c r="D215" s="31"/>
      <c r="E215" s="31"/>
      <c r="F215" s="31"/>
      <c r="G215" s="31"/>
      <c r="H215" s="23" t="str">
        <f t="shared" si="26"/>
        <v/>
      </c>
      <c r="I215" s="31"/>
    </row>
    <row r="216" ht="18.75" customHeight="1">
      <c r="A216" s="30"/>
      <c r="B216" s="30"/>
      <c r="C216" s="30"/>
      <c r="D216" s="30"/>
      <c r="E216" s="30"/>
      <c r="F216" s="30"/>
      <c r="G216" s="30"/>
      <c r="H216" s="27" t="str">
        <f t="shared" si="26"/>
        <v/>
      </c>
      <c r="I216" s="30"/>
    </row>
    <row r="217" ht="18.75" customHeight="1">
      <c r="A217" s="31"/>
      <c r="B217" s="31"/>
      <c r="C217" s="31"/>
      <c r="D217" s="31"/>
      <c r="E217" s="31"/>
      <c r="F217" s="31"/>
      <c r="G217" s="31"/>
      <c r="H217" s="23" t="str">
        <f t="shared" si="26"/>
        <v/>
      </c>
      <c r="I217" s="31"/>
    </row>
    <row r="218" ht="18.75" customHeight="1">
      <c r="A218" s="30"/>
      <c r="B218" s="30"/>
      <c r="C218" s="30"/>
      <c r="D218" s="30"/>
      <c r="E218" s="30"/>
      <c r="F218" s="30"/>
      <c r="G218" s="30"/>
      <c r="H218" s="27" t="str">
        <f t="shared" si="26"/>
        <v/>
      </c>
      <c r="I218" s="30"/>
    </row>
    <row r="219" ht="18.75" customHeight="1">
      <c r="A219" s="31"/>
      <c r="B219" s="31"/>
      <c r="C219" s="31"/>
      <c r="D219" s="31"/>
      <c r="E219" s="31"/>
      <c r="F219" s="31"/>
      <c r="G219" s="31"/>
      <c r="H219" s="23" t="str">
        <f t="shared" si="26"/>
        <v/>
      </c>
      <c r="I219" s="31"/>
    </row>
    <row r="220" ht="18.75" customHeight="1">
      <c r="A220" s="30"/>
      <c r="B220" s="30"/>
      <c r="C220" s="30"/>
      <c r="D220" s="30"/>
      <c r="E220" s="30"/>
      <c r="F220" s="30"/>
      <c r="G220" s="30"/>
      <c r="H220" s="27" t="str">
        <f t="shared" si="26"/>
        <v/>
      </c>
      <c r="I220" s="30"/>
    </row>
    <row r="221" ht="18.75" customHeight="1">
      <c r="A221" s="31"/>
      <c r="B221" s="31"/>
      <c r="C221" s="31"/>
      <c r="D221" s="31"/>
      <c r="E221" s="31"/>
      <c r="F221" s="31"/>
      <c r="G221" s="31"/>
      <c r="H221" s="23"/>
      <c r="I221" s="31"/>
    </row>
    <row r="222" ht="18.75" customHeight="1">
      <c r="A222" s="30"/>
      <c r="B222" s="30"/>
      <c r="C222" s="30"/>
      <c r="D222" s="30"/>
      <c r="E222" s="30"/>
      <c r="F222" s="30"/>
      <c r="G222" s="30"/>
      <c r="H222" s="27" t="str">
        <f t="shared" ref="H222:H228" si="27">IF(AND(F222="", G222=""), "", SUM($F$12:F222)-SUM($G$12:G222))</f>
        <v/>
      </c>
      <c r="I222" s="30"/>
    </row>
    <row r="223" ht="18.75" customHeight="1">
      <c r="A223" s="31"/>
      <c r="B223" s="31"/>
      <c r="C223" s="31"/>
      <c r="D223" s="31"/>
      <c r="E223" s="31"/>
      <c r="F223" s="31"/>
      <c r="G223" s="31"/>
      <c r="H223" s="23" t="str">
        <f t="shared" si="27"/>
        <v/>
      </c>
      <c r="I223" s="31"/>
    </row>
    <row r="224" ht="18.75" customHeight="1">
      <c r="A224" s="30"/>
      <c r="B224" s="30"/>
      <c r="C224" s="30"/>
      <c r="D224" s="30"/>
      <c r="E224" s="30"/>
      <c r="F224" s="30"/>
      <c r="G224" s="30"/>
      <c r="H224" s="27" t="str">
        <f t="shared" si="27"/>
        <v/>
      </c>
      <c r="I224" s="30"/>
    </row>
    <row r="225" ht="18.75" customHeight="1">
      <c r="A225" s="31"/>
      <c r="B225" s="31"/>
      <c r="C225" s="31"/>
      <c r="D225" s="31"/>
      <c r="E225" s="31"/>
      <c r="F225" s="31"/>
      <c r="G225" s="31"/>
      <c r="H225" s="23" t="str">
        <f t="shared" si="27"/>
        <v/>
      </c>
      <c r="I225" s="31"/>
    </row>
    <row r="226" ht="18.75" customHeight="1">
      <c r="A226" s="30"/>
      <c r="B226" s="30"/>
      <c r="C226" s="30"/>
      <c r="D226" s="30"/>
      <c r="E226" s="30"/>
      <c r="F226" s="30"/>
      <c r="G226" s="30"/>
      <c r="H226" s="27" t="str">
        <f t="shared" si="27"/>
        <v/>
      </c>
      <c r="I226" s="30"/>
    </row>
    <row r="227" ht="18.75" customHeight="1">
      <c r="A227" s="31"/>
      <c r="B227" s="31"/>
      <c r="C227" s="31"/>
      <c r="D227" s="31"/>
      <c r="E227" s="31"/>
      <c r="F227" s="31"/>
      <c r="G227" s="31"/>
      <c r="H227" s="23" t="str">
        <f t="shared" si="27"/>
        <v/>
      </c>
      <c r="I227" s="31"/>
    </row>
    <row r="228" ht="18.75" customHeight="1">
      <c r="A228" s="30"/>
      <c r="B228" s="30"/>
      <c r="C228" s="30"/>
      <c r="D228" s="30"/>
      <c r="E228" s="30"/>
      <c r="F228" s="30"/>
      <c r="G228" s="30"/>
      <c r="H228" s="27" t="str">
        <f t="shared" si="27"/>
        <v/>
      </c>
      <c r="I228" s="30"/>
    </row>
    <row r="229" ht="18.75" customHeight="1">
      <c r="A229" s="31"/>
      <c r="B229" s="31"/>
      <c r="C229" s="31"/>
      <c r="D229" s="31"/>
      <c r="E229" s="31"/>
      <c r="F229" s="31"/>
      <c r="G229" s="31"/>
      <c r="H229" s="23"/>
      <c r="I229" s="31"/>
    </row>
    <row r="230" ht="18.75" customHeight="1">
      <c r="A230" s="30"/>
      <c r="B230" s="30"/>
      <c r="C230" s="30"/>
      <c r="D230" s="30"/>
      <c r="E230" s="30"/>
      <c r="F230" s="30"/>
      <c r="G230" s="30"/>
      <c r="H230" s="27" t="str">
        <f t="shared" ref="H230:H236" si="28">IF(AND(F230="", G230=""), "", SUM($F$12:F230)-SUM($G$12:G230))</f>
        <v/>
      </c>
      <c r="I230" s="30"/>
    </row>
    <row r="231" ht="18.75" customHeight="1">
      <c r="A231" s="31"/>
      <c r="B231" s="31"/>
      <c r="C231" s="31"/>
      <c r="D231" s="31"/>
      <c r="E231" s="31"/>
      <c r="F231" s="31"/>
      <c r="G231" s="31"/>
      <c r="H231" s="23" t="str">
        <f t="shared" si="28"/>
        <v/>
      </c>
      <c r="I231" s="31"/>
    </row>
    <row r="232" ht="18.75" customHeight="1">
      <c r="A232" s="30"/>
      <c r="B232" s="30"/>
      <c r="C232" s="30"/>
      <c r="D232" s="30"/>
      <c r="E232" s="30"/>
      <c r="F232" s="30"/>
      <c r="G232" s="30"/>
      <c r="H232" s="27" t="str">
        <f t="shared" si="28"/>
        <v/>
      </c>
      <c r="I232" s="30"/>
    </row>
    <row r="233" ht="18.75" customHeight="1">
      <c r="A233" s="31"/>
      <c r="B233" s="31"/>
      <c r="C233" s="31"/>
      <c r="D233" s="31"/>
      <c r="E233" s="31"/>
      <c r="F233" s="31"/>
      <c r="G233" s="31"/>
      <c r="H233" s="23" t="str">
        <f t="shared" si="28"/>
        <v/>
      </c>
      <c r="I233" s="31"/>
    </row>
    <row r="234" ht="18.75" customHeight="1">
      <c r="A234" s="30"/>
      <c r="B234" s="30"/>
      <c r="C234" s="30"/>
      <c r="D234" s="30"/>
      <c r="E234" s="30"/>
      <c r="F234" s="30"/>
      <c r="G234" s="30"/>
      <c r="H234" s="27" t="str">
        <f t="shared" si="28"/>
        <v/>
      </c>
      <c r="I234" s="30"/>
    </row>
    <row r="235" ht="18.75" customHeight="1">
      <c r="A235" s="31"/>
      <c r="B235" s="31"/>
      <c r="C235" s="31"/>
      <c r="D235" s="31"/>
      <c r="E235" s="31"/>
      <c r="F235" s="31"/>
      <c r="G235" s="31"/>
      <c r="H235" s="23" t="str">
        <f t="shared" si="28"/>
        <v/>
      </c>
      <c r="I235" s="31"/>
    </row>
    <row r="236" ht="18.75" customHeight="1">
      <c r="A236" s="30"/>
      <c r="B236" s="30"/>
      <c r="C236" s="30"/>
      <c r="D236" s="30"/>
      <c r="E236" s="30"/>
      <c r="F236" s="30"/>
      <c r="G236" s="30"/>
      <c r="H236" s="27" t="str">
        <f t="shared" si="28"/>
        <v/>
      </c>
      <c r="I236" s="30"/>
    </row>
    <row r="237" ht="18.75" customHeight="1">
      <c r="A237" s="31"/>
      <c r="B237" s="31"/>
      <c r="C237" s="31"/>
      <c r="D237" s="31"/>
      <c r="E237" s="31"/>
      <c r="F237" s="31"/>
      <c r="G237" s="31"/>
      <c r="H237" s="23"/>
      <c r="I237" s="31"/>
    </row>
    <row r="238" ht="18.75" customHeight="1">
      <c r="A238" s="30"/>
      <c r="B238" s="30"/>
      <c r="C238" s="30"/>
      <c r="D238" s="30"/>
      <c r="E238" s="30"/>
      <c r="F238" s="30"/>
      <c r="G238" s="30"/>
      <c r="H238" s="27" t="str">
        <f t="shared" ref="H238:H244" si="29">IF(AND(F238="", G238=""), "", SUM($F$12:F238)-SUM($G$12:G238))</f>
        <v/>
      </c>
      <c r="I238" s="30"/>
    </row>
    <row r="239" ht="18.75" customHeight="1">
      <c r="A239" s="31"/>
      <c r="B239" s="31"/>
      <c r="C239" s="31"/>
      <c r="D239" s="31"/>
      <c r="E239" s="31"/>
      <c r="F239" s="31"/>
      <c r="G239" s="31"/>
      <c r="H239" s="23" t="str">
        <f t="shared" si="29"/>
        <v/>
      </c>
      <c r="I239" s="31"/>
    </row>
    <row r="240" ht="18.75" customHeight="1">
      <c r="A240" s="30"/>
      <c r="B240" s="30"/>
      <c r="C240" s="30"/>
      <c r="D240" s="30"/>
      <c r="E240" s="30"/>
      <c r="F240" s="30"/>
      <c r="G240" s="30"/>
      <c r="H240" s="27" t="str">
        <f t="shared" si="29"/>
        <v/>
      </c>
      <c r="I240" s="30"/>
    </row>
    <row r="241" ht="18.75" customHeight="1">
      <c r="A241" s="31"/>
      <c r="B241" s="31"/>
      <c r="C241" s="31"/>
      <c r="D241" s="31"/>
      <c r="E241" s="31"/>
      <c r="F241" s="31"/>
      <c r="G241" s="31"/>
      <c r="H241" s="23" t="str">
        <f t="shared" si="29"/>
        <v/>
      </c>
      <c r="I241" s="31"/>
    </row>
    <row r="242" ht="18.75" customHeight="1">
      <c r="A242" s="30"/>
      <c r="B242" s="30"/>
      <c r="C242" s="30"/>
      <c r="D242" s="30"/>
      <c r="E242" s="30"/>
      <c r="F242" s="30"/>
      <c r="G242" s="30"/>
      <c r="H242" s="27" t="str">
        <f t="shared" si="29"/>
        <v/>
      </c>
      <c r="I242" s="30"/>
    </row>
    <row r="243" ht="18.75" customHeight="1">
      <c r="A243" s="31"/>
      <c r="B243" s="31"/>
      <c r="C243" s="31"/>
      <c r="D243" s="31"/>
      <c r="E243" s="31"/>
      <c r="F243" s="31"/>
      <c r="G243" s="31"/>
      <c r="H243" s="23" t="str">
        <f t="shared" si="29"/>
        <v/>
      </c>
      <c r="I243" s="31"/>
    </row>
    <row r="244" ht="18.75" customHeight="1">
      <c r="A244" s="30"/>
      <c r="B244" s="30"/>
      <c r="C244" s="30"/>
      <c r="D244" s="30"/>
      <c r="E244" s="30"/>
      <c r="F244" s="30"/>
      <c r="G244" s="30"/>
      <c r="H244" s="27" t="str">
        <f t="shared" si="29"/>
        <v/>
      </c>
      <c r="I244" s="30"/>
    </row>
    <row r="245" ht="18.75" customHeight="1">
      <c r="A245" s="31"/>
      <c r="B245" s="31"/>
      <c r="C245" s="31"/>
      <c r="D245" s="31"/>
      <c r="E245" s="31"/>
      <c r="F245" s="31"/>
      <c r="G245" s="31"/>
      <c r="H245" s="23"/>
      <c r="I245" s="31"/>
    </row>
    <row r="246" ht="18.75" customHeight="1">
      <c r="A246" s="30"/>
      <c r="B246" s="30"/>
      <c r="C246" s="30"/>
      <c r="D246" s="30"/>
      <c r="E246" s="30"/>
      <c r="F246" s="30"/>
      <c r="G246" s="30"/>
      <c r="H246" s="27" t="str">
        <f t="shared" ref="H246:H252" si="30">IF(AND(F246="", G246=""), "", SUM($F$12:F246)-SUM($G$12:G246))</f>
        <v/>
      </c>
      <c r="I246" s="30"/>
    </row>
    <row r="247" ht="18.75" customHeight="1">
      <c r="A247" s="31"/>
      <c r="B247" s="31"/>
      <c r="C247" s="31"/>
      <c r="D247" s="31"/>
      <c r="E247" s="31"/>
      <c r="F247" s="31"/>
      <c r="G247" s="31"/>
      <c r="H247" s="23" t="str">
        <f t="shared" si="30"/>
        <v/>
      </c>
      <c r="I247" s="31"/>
    </row>
    <row r="248" ht="18.75" customHeight="1">
      <c r="A248" s="30"/>
      <c r="B248" s="30"/>
      <c r="C248" s="30"/>
      <c r="D248" s="30"/>
      <c r="E248" s="30"/>
      <c r="F248" s="30"/>
      <c r="G248" s="30"/>
      <c r="H248" s="27" t="str">
        <f t="shared" si="30"/>
        <v/>
      </c>
      <c r="I248" s="30"/>
    </row>
    <row r="249" ht="18.75" customHeight="1">
      <c r="A249" s="31"/>
      <c r="B249" s="31"/>
      <c r="C249" s="31"/>
      <c r="D249" s="31"/>
      <c r="E249" s="31"/>
      <c r="F249" s="31"/>
      <c r="G249" s="31"/>
      <c r="H249" s="23" t="str">
        <f t="shared" si="30"/>
        <v/>
      </c>
      <c r="I249" s="31"/>
    </row>
    <row r="250" ht="18.75" customHeight="1">
      <c r="A250" s="30"/>
      <c r="B250" s="30"/>
      <c r="C250" s="30"/>
      <c r="D250" s="30"/>
      <c r="E250" s="30"/>
      <c r="F250" s="30"/>
      <c r="G250" s="30"/>
      <c r="H250" s="27" t="str">
        <f t="shared" si="30"/>
        <v/>
      </c>
      <c r="I250" s="30"/>
    </row>
    <row r="251" ht="18.75" customHeight="1">
      <c r="A251" s="31"/>
      <c r="B251" s="31"/>
      <c r="C251" s="31"/>
      <c r="D251" s="31"/>
      <c r="E251" s="31"/>
      <c r="F251" s="31"/>
      <c r="G251" s="31"/>
      <c r="H251" s="23" t="str">
        <f t="shared" si="30"/>
        <v/>
      </c>
      <c r="I251" s="31"/>
    </row>
    <row r="252" ht="18.75" customHeight="1">
      <c r="A252" s="30"/>
      <c r="B252" s="30"/>
      <c r="C252" s="30"/>
      <c r="D252" s="30"/>
      <c r="E252" s="30"/>
      <c r="F252" s="30"/>
      <c r="G252" s="30"/>
      <c r="H252" s="27" t="str">
        <f t="shared" si="30"/>
        <v/>
      </c>
      <c r="I252" s="30"/>
    </row>
    <row r="253" ht="18.75" customHeight="1">
      <c r="A253" s="31"/>
      <c r="B253" s="31"/>
      <c r="C253" s="31"/>
      <c r="D253" s="31"/>
      <c r="E253" s="31"/>
      <c r="F253" s="31"/>
      <c r="G253" s="31"/>
      <c r="H253" s="23"/>
      <c r="I253" s="31"/>
    </row>
    <row r="254" ht="18.75" customHeight="1">
      <c r="A254" s="30"/>
      <c r="B254" s="30"/>
      <c r="C254" s="30"/>
      <c r="D254" s="30"/>
      <c r="E254" s="30"/>
      <c r="F254" s="30"/>
      <c r="G254" s="30"/>
      <c r="H254" s="27" t="str">
        <f t="shared" ref="H254:H260" si="31">IF(AND(F254="", G254=""), "", SUM($F$12:F254)-SUM($G$12:G254))</f>
        <v/>
      </c>
      <c r="I254" s="30"/>
    </row>
    <row r="255" ht="18.75" customHeight="1">
      <c r="A255" s="31"/>
      <c r="B255" s="31"/>
      <c r="C255" s="31"/>
      <c r="D255" s="31"/>
      <c r="E255" s="31"/>
      <c r="F255" s="31"/>
      <c r="G255" s="31"/>
      <c r="H255" s="23" t="str">
        <f t="shared" si="31"/>
        <v/>
      </c>
      <c r="I255" s="31"/>
    </row>
    <row r="256" ht="18.75" customHeight="1">
      <c r="A256" s="30"/>
      <c r="B256" s="30"/>
      <c r="C256" s="30"/>
      <c r="D256" s="30"/>
      <c r="E256" s="30"/>
      <c r="F256" s="30"/>
      <c r="G256" s="30"/>
      <c r="H256" s="27" t="str">
        <f t="shared" si="31"/>
        <v/>
      </c>
      <c r="I256" s="30"/>
    </row>
    <row r="257" ht="18.75" customHeight="1">
      <c r="A257" s="31"/>
      <c r="B257" s="31"/>
      <c r="C257" s="31"/>
      <c r="D257" s="31"/>
      <c r="E257" s="31"/>
      <c r="F257" s="31"/>
      <c r="G257" s="31"/>
      <c r="H257" s="23" t="str">
        <f t="shared" si="31"/>
        <v/>
      </c>
      <c r="I257" s="31"/>
    </row>
    <row r="258" ht="18.75" customHeight="1">
      <c r="A258" s="30"/>
      <c r="B258" s="30"/>
      <c r="C258" s="30"/>
      <c r="D258" s="30"/>
      <c r="E258" s="30"/>
      <c r="F258" s="30"/>
      <c r="G258" s="30"/>
      <c r="H258" s="27" t="str">
        <f t="shared" si="31"/>
        <v/>
      </c>
      <c r="I258" s="30"/>
    </row>
    <row r="259" ht="18.75" customHeight="1">
      <c r="A259" s="31"/>
      <c r="B259" s="31"/>
      <c r="C259" s="31"/>
      <c r="D259" s="31"/>
      <c r="E259" s="31"/>
      <c r="F259" s="31"/>
      <c r="G259" s="31"/>
      <c r="H259" s="23" t="str">
        <f t="shared" si="31"/>
        <v/>
      </c>
      <c r="I259" s="31"/>
    </row>
    <row r="260" ht="18.75" customHeight="1">
      <c r="A260" s="30"/>
      <c r="B260" s="30"/>
      <c r="C260" s="30"/>
      <c r="D260" s="30"/>
      <c r="E260" s="30"/>
      <c r="F260" s="30"/>
      <c r="G260" s="30"/>
      <c r="H260" s="27" t="str">
        <f t="shared" si="31"/>
        <v/>
      </c>
      <c r="I260" s="30"/>
    </row>
    <row r="261" ht="18.75" customHeight="1">
      <c r="A261" s="31"/>
      <c r="B261" s="31"/>
      <c r="C261" s="31"/>
      <c r="D261" s="31"/>
      <c r="E261" s="31"/>
      <c r="F261" s="31"/>
      <c r="G261" s="31"/>
      <c r="H261" s="23"/>
      <c r="I261" s="31"/>
    </row>
    <row r="262" ht="18.75" customHeight="1">
      <c r="A262" s="30"/>
      <c r="B262" s="30"/>
      <c r="C262" s="30"/>
      <c r="D262" s="30"/>
      <c r="E262" s="30"/>
      <c r="F262" s="30"/>
      <c r="G262" s="30"/>
      <c r="H262" s="27" t="str">
        <f t="shared" ref="H262:H268" si="32">IF(AND(F262="", G262=""), "", SUM($F$12:F262)-SUM($G$12:G262))</f>
        <v/>
      </c>
      <c r="I262" s="30"/>
    </row>
    <row r="263" ht="18.75" customHeight="1">
      <c r="A263" s="31"/>
      <c r="B263" s="31"/>
      <c r="C263" s="31"/>
      <c r="D263" s="31"/>
      <c r="E263" s="31"/>
      <c r="F263" s="31"/>
      <c r="G263" s="31"/>
      <c r="H263" s="23" t="str">
        <f t="shared" si="32"/>
        <v/>
      </c>
      <c r="I263" s="31"/>
    </row>
    <row r="264" ht="18.75" customHeight="1">
      <c r="A264" s="30"/>
      <c r="B264" s="30"/>
      <c r="C264" s="30"/>
      <c r="D264" s="30"/>
      <c r="E264" s="30"/>
      <c r="F264" s="30"/>
      <c r="G264" s="30"/>
      <c r="H264" s="27" t="str">
        <f t="shared" si="32"/>
        <v/>
      </c>
      <c r="I264" s="30"/>
    </row>
    <row r="265" ht="18.75" customHeight="1">
      <c r="A265" s="31"/>
      <c r="B265" s="31"/>
      <c r="C265" s="31"/>
      <c r="D265" s="31"/>
      <c r="E265" s="31"/>
      <c r="F265" s="31"/>
      <c r="G265" s="31"/>
      <c r="H265" s="23" t="str">
        <f t="shared" si="32"/>
        <v/>
      </c>
      <c r="I265" s="31"/>
    </row>
    <row r="266" ht="18.75" customHeight="1">
      <c r="A266" s="30"/>
      <c r="B266" s="30"/>
      <c r="C266" s="30"/>
      <c r="D266" s="30"/>
      <c r="E266" s="30"/>
      <c r="F266" s="30"/>
      <c r="G266" s="30"/>
      <c r="H266" s="27" t="str">
        <f t="shared" si="32"/>
        <v/>
      </c>
      <c r="I266" s="30"/>
    </row>
    <row r="267" ht="18.75" customHeight="1">
      <c r="A267" s="31"/>
      <c r="B267" s="31"/>
      <c r="C267" s="31"/>
      <c r="D267" s="31"/>
      <c r="E267" s="31"/>
      <c r="F267" s="31"/>
      <c r="G267" s="31"/>
      <c r="H267" s="23" t="str">
        <f t="shared" si="32"/>
        <v/>
      </c>
      <c r="I267" s="31"/>
    </row>
    <row r="268" ht="18.75" customHeight="1">
      <c r="A268" s="30"/>
      <c r="B268" s="30"/>
      <c r="C268" s="30"/>
      <c r="D268" s="30"/>
      <c r="E268" s="30"/>
      <c r="F268" s="30"/>
      <c r="G268" s="30"/>
      <c r="H268" s="27" t="str">
        <f t="shared" si="32"/>
        <v/>
      </c>
      <c r="I268" s="30"/>
    </row>
    <row r="269" ht="18.75" customHeight="1">
      <c r="A269" s="31"/>
      <c r="B269" s="31"/>
      <c r="C269" s="31"/>
      <c r="D269" s="31"/>
      <c r="E269" s="31"/>
      <c r="F269" s="31"/>
      <c r="G269" s="31"/>
      <c r="H269" s="23"/>
      <c r="I269" s="31"/>
    </row>
    <row r="270" ht="18.75" customHeight="1">
      <c r="A270" s="30"/>
      <c r="B270" s="30"/>
      <c r="C270" s="30"/>
      <c r="D270" s="30"/>
      <c r="E270" s="30"/>
      <c r="F270" s="30"/>
      <c r="G270" s="30"/>
      <c r="H270" s="27" t="str">
        <f t="shared" ref="H270:H276" si="33">IF(AND(F270="", G270=""), "", SUM($F$12:F270)-SUM($G$12:G270))</f>
        <v/>
      </c>
      <c r="I270" s="30"/>
    </row>
    <row r="271" ht="18.75" customHeight="1">
      <c r="A271" s="31"/>
      <c r="B271" s="31"/>
      <c r="C271" s="31"/>
      <c r="D271" s="31"/>
      <c r="E271" s="31"/>
      <c r="F271" s="31"/>
      <c r="G271" s="31"/>
      <c r="H271" s="23" t="str">
        <f t="shared" si="33"/>
        <v/>
      </c>
      <c r="I271" s="31"/>
    </row>
    <row r="272" ht="18.75" customHeight="1">
      <c r="A272" s="30"/>
      <c r="B272" s="30"/>
      <c r="C272" s="30"/>
      <c r="D272" s="30"/>
      <c r="E272" s="30"/>
      <c r="F272" s="30"/>
      <c r="G272" s="30"/>
      <c r="H272" s="27" t="str">
        <f t="shared" si="33"/>
        <v/>
      </c>
      <c r="I272" s="30"/>
    </row>
    <row r="273" ht="18.75" customHeight="1">
      <c r="A273" s="31"/>
      <c r="B273" s="31"/>
      <c r="C273" s="31"/>
      <c r="D273" s="31"/>
      <c r="E273" s="31"/>
      <c r="F273" s="31"/>
      <c r="G273" s="31"/>
      <c r="H273" s="23" t="str">
        <f t="shared" si="33"/>
        <v/>
      </c>
      <c r="I273" s="31"/>
    </row>
    <row r="274" ht="18.75" customHeight="1">
      <c r="A274" s="30"/>
      <c r="B274" s="30"/>
      <c r="C274" s="30"/>
      <c r="D274" s="30"/>
      <c r="E274" s="30"/>
      <c r="F274" s="30"/>
      <c r="G274" s="30"/>
      <c r="H274" s="27" t="str">
        <f t="shared" si="33"/>
        <v/>
      </c>
      <c r="I274" s="30"/>
    </row>
    <row r="275" ht="18.75" customHeight="1">
      <c r="A275" s="31"/>
      <c r="B275" s="31"/>
      <c r="C275" s="31"/>
      <c r="D275" s="31"/>
      <c r="E275" s="31"/>
      <c r="F275" s="31"/>
      <c r="G275" s="31"/>
      <c r="H275" s="23" t="str">
        <f t="shared" si="33"/>
        <v/>
      </c>
      <c r="I275" s="31"/>
    </row>
    <row r="276" ht="18.75" customHeight="1">
      <c r="A276" s="30"/>
      <c r="B276" s="30"/>
      <c r="C276" s="30"/>
      <c r="D276" s="30"/>
      <c r="E276" s="30"/>
      <c r="F276" s="30"/>
      <c r="G276" s="30"/>
      <c r="H276" s="27" t="str">
        <f t="shared" si="33"/>
        <v/>
      </c>
      <c r="I276" s="30"/>
    </row>
    <row r="277" ht="18.75" customHeight="1">
      <c r="A277" s="31"/>
      <c r="B277" s="31"/>
      <c r="C277" s="31"/>
      <c r="D277" s="31"/>
      <c r="E277" s="31"/>
      <c r="F277" s="31"/>
      <c r="G277" s="31"/>
      <c r="H277" s="23"/>
      <c r="I277" s="31"/>
    </row>
    <row r="278" ht="18.75" customHeight="1">
      <c r="A278" s="30"/>
      <c r="B278" s="30"/>
      <c r="C278" s="30"/>
      <c r="D278" s="30"/>
      <c r="E278" s="30"/>
      <c r="F278" s="30"/>
      <c r="G278" s="30"/>
      <c r="H278" s="27" t="str">
        <f t="shared" ref="H278:H284" si="34">IF(AND(F278="", G278=""), "", SUM($F$12:F278)-SUM($G$12:G278))</f>
        <v/>
      </c>
      <c r="I278" s="30"/>
    </row>
    <row r="279" ht="18.75" customHeight="1">
      <c r="A279" s="31"/>
      <c r="B279" s="31"/>
      <c r="C279" s="31"/>
      <c r="D279" s="31"/>
      <c r="E279" s="31"/>
      <c r="F279" s="31"/>
      <c r="G279" s="31"/>
      <c r="H279" s="23" t="str">
        <f t="shared" si="34"/>
        <v/>
      </c>
      <c r="I279" s="31"/>
    </row>
    <row r="280" ht="18.75" customHeight="1">
      <c r="A280" s="30"/>
      <c r="B280" s="30"/>
      <c r="C280" s="30"/>
      <c r="D280" s="30"/>
      <c r="E280" s="30"/>
      <c r="F280" s="30"/>
      <c r="G280" s="30"/>
      <c r="H280" s="27" t="str">
        <f t="shared" si="34"/>
        <v/>
      </c>
      <c r="I280" s="30"/>
    </row>
    <row r="281" ht="18.75" customHeight="1">
      <c r="A281" s="31"/>
      <c r="B281" s="31"/>
      <c r="C281" s="31"/>
      <c r="D281" s="31"/>
      <c r="E281" s="31"/>
      <c r="F281" s="31"/>
      <c r="G281" s="31"/>
      <c r="H281" s="23" t="str">
        <f t="shared" si="34"/>
        <v/>
      </c>
      <c r="I281" s="31"/>
    </row>
    <row r="282" ht="18.75" customHeight="1">
      <c r="A282" s="30"/>
      <c r="B282" s="30"/>
      <c r="C282" s="30"/>
      <c r="D282" s="30"/>
      <c r="E282" s="30"/>
      <c r="F282" s="30"/>
      <c r="G282" s="30"/>
      <c r="H282" s="27" t="str">
        <f t="shared" si="34"/>
        <v/>
      </c>
      <c r="I282" s="30"/>
    </row>
    <row r="283" ht="18.75" customHeight="1">
      <c r="A283" s="31"/>
      <c r="B283" s="31"/>
      <c r="C283" s="31"/>
      <c r="D283" s="31"/>
      <c r="E283" s="31"/>
      <c r="F283" s="31"/>
      <c r="G283" s="31"/>
      <c r="H283" s="23" t="str">
        <f t="shared" si="34"/>
        <v/>
      </c>
      <c r="I283" s="31"/>
    </row>
    <row r="284" ht="18.75" customHeight="1">
      <c r="A284" s="30"/>
      <c r="B284" s="30"/>
      <c r="C284" s="30"/>
      <c r="D284" s="30"/>
      <c r="E284" s="30"/>
      <c r="F284" s="30"/>
      <c r="G284" s="30"/>
      <c r="H284" s="27" t="str">
        <f t="shared" si="34"/>
        <v/>
      </c>
      <c r="I284" s="30"/>
    </row>
    <row r="285" ht="18.75" customHeight="1">
      <c r="A285" s="31"/>
      <c r="B285" s="31"/>
      <c r="C285" s="31"/>
      <c r="D285" s="31"/>
      <c r="E285" s="31"/>
      <c r="F285" s="31"/>
      <c r="G285" s="31"/>
      <c r="H285" s="23"/>
      <c r="I285" s="31"/>
    </row>
    <row r="286" ht="18.75" customHeight="1">
      <c r="A286" s="30"/>
      <c r="B286" s="30"/>
      <c r="C286" s="30"/>
      <c r="D286" s="30"/>
      <c r="E286" s="30"/>
      <c r="F286" s="30"/>
      <c r="G286" s="30"/>
      <c r="H286" s="27" t="str">
        <f t="shared" ref="H286:H292" si="35">IF(AND(F286="", G286=""), "", SUM($F$12:F286)-SUM($G$12:G286))</f>
        <v/>
      </c>
      <c r="I286" s="30"/>
    </row>
    <row r="287" ht="18.75" customHeight="1">
      <c r="A287" s="31"/>
      <c r="B287" s="31"/>
      <c r="C287" s="31"/>
      <c r="D287" s="31"/>
      <c r="E287" s="31"/>
      <c r="F287" s="31"/>
      <c r="G287" s="31"/>
      <c r="H287" s="23" t="str">
        <f t="shared" si="35"/>
        <v/>
      </c>
      <c r="I287" s="31"/>
    </row>
    <row r="288" ht="18.75" customHeight="1">
      <c r="A288" s="30"/>
      <c r="B288" s="30"/>
      <c r="C288" s="30"/>
      <c r="D288" s="30"/>
      <c r="E288" s="30"/>
      <c r="F288" s="30"/>
      <c r="G288" s="30"/>
      <c r="H288" s="27" t="str">
        <f t="shared" si="35"/>
        <v/>
      </c>
      <c r="I288" s="30"/>
    </row>
    <row r="289" ht="18.75" customHeight="1">
      <c r="A289" s="31"/>
      <c r="B289" s="31"/>
      <c r="C289" s="31"/>
      <c r="D289" s="31"/>
      <c r="E289" s="31"/>
      <c r="F289" s="31"/>
      <c r="G289" s="31"/>
      <c r="H289" s="23" t="str">
        <f t="shared" si="35"/>
        <v/>
      </c>
      <c r="I289" s="31"/>
    </row>
    <row r="290" ht="18.75" customHeight="1">
      <c r="A290" s="30"/>
      <c r="B290" s="30"/>
      <c r="C290" s="30"/>
      <c r="D290" s="30"/>
      <c r="E290" s="30"/>
      <c r="F290" s="30"/>
      <c r="G290" s="30"/>
      <c r="H290" s="27" t="str">
        <f t="shared" si="35"/>
        <v/>
      </c>
      <c r="I290" s="30"/>
    </row>
    <row r="291" ht="18.75" customHeight="1">
      <c r="A291" s="31"/>
      <c r="B291" s="31"/>
      <c r="C291" s="31"/>
      <c r="D291" s="31"/>
      <c r="E291" s="31"/>
      <c r="F291" s="31"/>
      <c r="G291" s="31"/>
      <c r="H291" s="23" t="str">
        <f t="shared" si="35"/>
        <v/>
      </c>
      <c r="I291" s="31"/>
    </row>
    <row r="292" ht="18.75" customHeight="1">
      <c r="A292" s="30"/>
      <c r="B292" s="30"/>
      <c r="C292" s="30"/>
      <c r="D292" s="30"/>
      <c r="E292" s="30"/>
      <c r="F292" s="30"/>
      <c r="G292" s="30"/>
      <c r="H292" s="27" t="str">
        <f t="shared" si="35"/>
        <v/>
      </c>
      <c r="I292" s="30"/>
    </row>
    <row r="293" ht="18.75" customHeight="1">
      <c r="A293" s="31"/>
      <c r="B293" s="31"/>
      <c r="C293" s="31"/>
      <c r="D293" s="31"/>
      <c r="E293" s="31"/>
      <c r="F293" s="31"/>
      <c r="G293" s="31"/>
      <c r="H293" s="23"/>
      <c r="I293" s="31"/>
    </row>
    <row r="294" ht="18.75" customHeight="1">
      <c r="A294" s="30"/>
      <c r="B294" s="30"/>
      <c r="C294" s="30"/>
      <c r="D294" s="30"/>
      <c r="E294" s="30"/>
      <c r="F294" s="30"/>
      <c r="G294" s="30"/>
      <c r="H294" s="27" t="str">
        <f t="shared" ref="H294:H300" si="36">IF(AND(F294="", G294=""), "", SUM($F$12:F294)-SUM($G$12:G294))</f>
        <v/>
      </c>
      <c r="I294" s="30"/>
    </row>
    <row r="295" ht="18.75" customHeight="1">
      <c r="A295" s="31"/>
      <c r="B295" s="31"/>
      <c r="C295" s="31"/>
      <c r="D295" s="31"/>
      <c r="E295" s="31"/>
      <c r="F295" s="31"/>
      <c r="G295" s="31"/>
      <c r="H295" s="23" t="str">
        <f t="shared" si="36"/>
        <v/>
      </c>
      <c r="I295" s="31"/>
    </row>
    <row r="296" ht="18.75" customHeight="1">
      <c r="A296" s="30"/>
      <c r="B296" s="30"/>
      <c r="C296" s="30"/>
      <c r="D296" s="30"/>
      <c r="E296" s="30"/>
      <c r="F296" s="30"/>
      <c r="G296" s="30"/>
      <c r="H296" s="27" t="str">
        <f t="shared" si="36"/>
        <v/>
      </c>
      <c r="I296" s="30"/>
    </row>
    <row r="297" ht="18.75" customHeight="1">
      <c r="A297" s="31"/>
      <c r="B297" s="31"/>
      <c r="C297" s="31"/>
      <c r="D297" s="31"/>
      <c r="E297" s="31"/>
      <c r="F297" s="31"/>
      <c r="G297" s="31"/>
      <c r="H297" s="23" t="str">
        <f t="shared" si="36"/>
        <v/>
      </c>
      <c r="I297" s="31"/>
    </row>
    <row r="298" ht="18.75" customHeight="1">
      <c r="A298" s="30"/>
      <c r="B298" s="30"/>
      <c r="C298" s="30"/>
      <c r="D298" s="30"/>
      <c r="E298" s="30"/>
      <c r="F298" s="30"/>
      <c r="G298" s="30"/>
      <c r="H298" s="27" t="str">
        <f t="shared" si="36"/>
        <v/>
      </c>
      <c r="I298" s="30"/>
    </row>
    <row r="299" ht="18.75" customHeight="1">
      <c r="A299" s="31"/>
      <c r="B299" s="31"/>
      <c r="C299" s="31"/>
      <c r="D299" s="31"/>
      <c r="E299" s="31"/>
      <c r="F299" s="31"/>
      <c r="G299" s="31"/>
      <c r="H299" s="23" t="str">
        <f t="shared" si="36"/>
        <v/>
      </c>
      <c r="I299" s="31"/>
    </row>
    <row r="300" ht="18.75" customHeight="1">
      <c r="A300" s="30"/>
      <c r="B300" s="30"/>
      <c r="C300" s="30"/>
      <c r="D300" s="30"/>
      <c r="E300" s="30"/>
      <c r="F300" s="30"/>
      <c r="G300" s="30"/>
      <c r="H300" s="27" t="str">
        <f t="shared" si="36"/>
        <v/>
      </c>
      <c r="I300" s="30"/>
    </row>
    <row r="301" ht="18.75" customHeight="1">
      <c r="A301" s="31"/>
      <c r="B301" s="31"/>
      <c r="C301" s="31"/>
      <c r="D301" s="31"/>
      <c r="E301" s="31"/>
      <c r="F301" s="31"/>
      <c r="G301" s="31"/>
      <c r="H301" s="23"/>
      <c r="I301" s="31"/>
    </row>
    <row r="302" ht="18.75" customHeight="1">
      <c r="A302" s="30"/>
      <c r="B302" s="30"/>
      <c r="C302" s="30"/>
      <c r="D302" s="30"/>
      <c r="E302" s="30"/>
      <c r="F302" s="30"/>
      <c r="G302" s="30"/>
      <c r="H302" s="27" t="str">
        <f t="shared" ref="H302:H308" si="37">IF(AND(F302="", G302=""), "", SUM($F$12:F302)-SUM($G$12:G302))</f>
        <v/>
      </c>
      <c r="I302" s="30"/>
    </row>
    <row r="303" ht="18.75" customHeight="1">
      <c r="A303" s="31"/>
      <c r="B303" s="31"/>
      <c r="C303" s="31"/>
      <c r="D303" s="31"/>
      <c r="E303" s="31"/>
      <c r="F303" s="31"/>
      <c r="G303" s="31"/>
      <c r="H303" s="23" t="str">
        <f t="shared" si="37"/>
        <v/>
      </c>
      <c r="I303" s="31"/>
    </row>
    <row r="304" ht="18.75" customHeight="1">
      <c r="A304" s="30"/>
      <c r="B304" s="30"/>
      <c r="C304" s="30"/>
      <c r="D304" s="30"/>
      <c r="E304" s="30"/>
      <c r="F304" s="30"/>
      <c r="G304" s="30"/>
      <c r="H304" s="27" t="str">
        <f t="shared" si="37"/>
        <v/>
      </c>
      <c r="I304" s="30"/>
    </row>
    <row r="305" ht="18.75" customHeight="1">
      <c r="A305" s="31"/>
      <c r="B305" s="31"/>
      <c r="C305" s="31"/>
      <c r="D305" s="31"/>
      <c r="E305" s="31"/>
      <c r="F305" s="31"/>
      <c r="G305" s="31"/>
      <c r="H305" s="23" t="str">
        <f t="shared" si="37"/>
        <v/>
      </c>
      <c r="I305" s="31"/>
    </row>
    <row r="306" ht="18.75" customHeight="1">
      <c r="A306" s="30"/>
      <c r="B306" s="30"/>
      <c r="C306" s="30"/>
      <c r="D306" s="30"/>
      <c r="E306" s="30"/>
      <c r="F306" s="30"/>
      <c r="G306" s="30"/>
      <c r="H306" s="27" t="str">
        <f t="shared" si="37"/>
        <v/>
      </c>
      <c r="I306" s="30"/>
    </row>
    <row r="307" ht="18.75" customHeight="1">
      <c r="A307" s="31"/>
      <c r="B307" s="31"/>
      <c r="C307" s="31"/>
      <c r="D307" s="31"/>
      <c r="E307" s="31"/>
      <c r="F307" s="31"/>
      <c r="G307" s="31"/>
      <c r="H307" s="23" t="str">
        <f t="shared" si="37"/>
        <v/>
      </c>
      <c r="I307" s="31"/>
    </row>
    <row r="308" ht="18.75" customHeight="1">
      <c r="A308" s="30"/>
      <c r="B308" s="30"/>
      <c r="C308" s="30"/>
      <c r="D308" s="30"/>
      <c r="E308" s="30"/>
      <c r="F308" s="30"/>
      <c r="G308" s="30"/>
      <c r="H308" s="27" t="str">
        <f t="shared" si="37"/>
        <v/>
      </c>
      <c r="I308" s="30"/>
    </row>
    <row r="309" ht="18.75" customHeight="1">
      <c r="A309" s="31"/>
      <c r="B309" s="31"/>
      <c r="C309" s="31"/>
      <c r="D309" s="31"/>
      <c r="E309" s="31"/>
      <c r="F309" s="31"/>
      <c r="G309" s="31"/>
      <c r="H309" s="23"/>
      <c r="I309" s="31"/>
    </row>
    <row r="310" ht="18.75" customHeight="1">
      <c r="A310" s="30"/>
      <c r="B310" s="30"/>
      <c r="C310" s="30"/>
      <c r="D310" s="30"/>
      <c r="E310" s="30"/>
      <c r="F310" s="30"/>
      <c r="G310" s="30"/>
      <c r="H310" s="27" t="str">
        <f t="shared" ref="H310:H316" si="38">IF(AND(F310="", G310=""), "", SUM($F$12:F310)-SUM($G$12:G310))</f>
        <v/>
      </c>
      <c r="I310" s="30"/>
    </row>
    <row r="311" ht="18.75" customHeight="1">
      <c r="A311" s="31"/>
      <c r="B311" s="31"/>
      <c r="C311" s="31"/>
      <c r="D311" s="31"/>
      <c r="E311" s="31"/>
      <c r="F311" s="31"/>
      <c r="G311" s="31"/>
      <c r="H311" s="23" t="str">
        <f t="shared" si="38"/>
        <v/>
      </c>
      <c r="I311" s="31"/>
    </row>
    <row r="312" ht="18.75" customHeight="1">
      <c r="A312" s="30"/>
      <c r="B312" s="30"/>
      <c r="C312" s="30"/>
      <c r="D312" s="30"/>
      <c r="E312" s="30"/>
      <c r="F312" s="30"/>
      <c r="G312" s="30"/>
      <c r="H312" s="27" t="str">
        <f t="shared" si="38"/>
        <v/>
      </c>
      <c r="I312" s="30"/>
    </row>
    <row r="313" ht="18.75" customHeight="1">
      <c r="A313" s="31"/>
      <c r="B313" s="31"/>
      <c r="C313" s="31"/>
      <c r="D313" s="31"/>
      <c r="E313" s="31"/>
      <c r="F313" s="31"/>
      <c r="G313" s="31"/>
      <c r="H313" s="23" t="str">
        <f t="shared" si="38"/>
        <v/>
      </c>
      <c r="I313" s="31"/>
    </row>
    <row r="314" ht="18.75" customHeight="1">
      <c r="A314" s="30"/>
      <c r="B314" s="30"/>
      <c r="C314" s="30"/>
      <c r="D314" s="30"/>
      <c r="E314" s="30"/>
      <c r="F314" s="30"/>
      <c r="G314" s="30"/>
      <c r="H314" s="27" t="str">
        <f t="shared" si="38"/>
        <v/>
      </c>
      <c r="I314" s="30"/>
    </row>
    <row r="315" ht="18.75" customHeight="1">
      <c r="A315" s="31"/>
      <c r="B315" s="31"/>
      <c r="C315" s="31"/>
      <c r="D315" s="31"/>
      <c r="E315" s="31"/>
      <c r="F315" s="31"/>
      <c r="G315" s="31"/>
      <c r="H315" s="23" t="str">
        <f t="shared" si="38"/>
        <v/>
      </c>
      <c r="I315" s="31"/>
    </row>
    <row r="316" ht="18.75" customHeight="1">
      <c r="A316" s="30"/>
      <c r="B316" s="30"/>
      <c r="C316" s="30"/>
      <c r="D316" s="30"/>
      <c r="E316" s="30"/>
      <c r="F316" s="30"/>
      <c r="G316" s="30"/>
      <c r="H316" s="27" t="str">
        <f t="shared" si="38"/>
        <v/>
      </c>
      <c r="I316" s="30"/>
    </row>
    <row r="317" ht="18.75" customHeight="1">
      <c r="A317" s="31"/>
      <c r="B317" s="31"/>
      <c r="C317" s="31"/>
      <c r="D317" s="31"/>
      <c r="E317" s="31"/>
      <c r="F317" s="31"/>
      <c r="G317" s="31"/>
      <c r="H317" s="23"/>
      <c r="I317" s="31"/>
    </row>
    <row r="318" ht="18.75" customHeight="1">
      <c r="A318" s="30"/>
      <c r="B318" s="30"/>
      <c r="C318" s="30"/>
      <c r="D318" s="30"/>
      <c r="E318" s="30"/>
      <c r="F318" s="30"/>
      <c r="G318" s="30"/>
      <c r="H318" s="27" t="str">
        <f t="shared" ref="H318:H324" si="39">IF(AND(F318="", G318=""), "", SUM($F$12:F318)-SUM($G$12:G318))</f>
        <v/>
      </c>
      <c r="I318" s="30"/>
    </row>
    <row r="319" ht="18.75" customHeight="1">
      <c r="A319" s="31"/>
      <c r="B319" s="31"/>
      <c r="C319" s="31"/>
      <c r="D319" s="31"/>
      <c r="E319" s="31"/>
      <c r="F319" s="31"/>
      <c r="G319" s="31"/>
      <c r="H319" s="23" t="str">
        <f t="shared" si="39"/>
        <v/>
      </c>
      <c r="I319" s="31"/>
    </row>
    <row r="320" ht="18.75" customHeight="1">
      <c r="A320" s="30"/>
      <c r="B320" s="30"/>
      <c r="C320" s="30"/>
      <c r="D320" s="30"/>
      <c r="E320" s="30"/>
      <c r="F320" s="30"/>
      <c r="G320" s="30"/>
      <c r="H320" s="27" t="str">
        <f t="shared" si="39"/>
        <v/>
      </c>
      <c r="I320" s="30"/>
    </row>
    <row r="321" ht="18.75" customHeight="1">
      <c r="A321" s="31"/>
      <c r="B321" s="31"/>
      <c r="C321" s="31"/>
      <c r="D321" s="31"/>
      <c r="E321" s="31"/>
      <c r="F321" s="31"/>
      <c r="G321" s="31"/>
      <c r="H321" s="23" t="str">
        <f t="shared" si="39"/>
        <v/>
      </c>
      <c r="I321" s="31"/>
    </row>
    <row r="322" ht="18.75" customHeight="1">
      <c r="A322" s="30"/>
      <c r="B322" s="30"/>
      <c r="C322" s="30"/>
      <c r="D322" s="30"/>
      <c r="E322" s="30"/>
      <c r="F322" s="30"/>
      <c r="G322" s="30"/>
      <c r="H322" s="27" t="str">
        <f t="shared" si="39"/>
        <v/>
      </c>
      <c r="I322" s="30"/>
    </row>
    <row r="323" ht="18.75" customHeight="1">
      <c r="A323" s="31"/>
      <c r="B323" s="31"/>
      <c r="C323" s="31"/>
      <c r="D323" s="31"/>
      <c r="E323" s="31"/>
      <c r="F323" s="31"/>
      <c r="G323" s="31"/>
      <c r="H323" s="23" t="str">
        <f t="shared" si="39"/>
        <v/>
      </c>
      <c r="I323" s="31"/>
    </row>
    <row r="324" ht="18.75" customHeight="1">
      <c r="A324" s="30"/>
      <c r="B324" s="30"/>
      <c r="C324" s="30"/>
      <c r="D324" s="30"/>
      <c r="E324" s="30"/>
      <c r="F324" s="30"/>
      <c r="G324" s="30"/>
      <c r="H324" s="27" t="str">
        <f t="shared" si="39"/>
        <v/>
      </c>
      <c r="I324" s="30"/>
    </row>
    <row r="325" ht="18.75" customHeight="1">
      <c r="A325" s="31"/>
      <c r="B325" s="31"/>
      <c r="C325" s="31"/>
      <c r="D325" s="31"/>
      <c r="E325" s="31"/>
      <c r="F325" s="31"/>
      <c r="G325" s="31"/>
      <c r="H325" s="23"/>
      <c r="I325" s="31"/>
    </row>
    <row r="326" ht="18.75" customHeight="1">
      <c r="A326" s="30"/>
      <c r="B326" s="30"/>
      <c r="C326" s="30"/>
      <c r="D326" s="30"/>
      <c r="E326" s="30"/>
      <c r="F326" s="30"/>
      <c r="G326" s="30"/>
      <c r="H326" s="27" t="str">
        <f t="shared" ref="H326:H343" si="40">IF(AND(F326="", G326=""), "", SUM($F$12:F326)-SUM($G$12:G326))</f>
        <v/>
      </c>
      <c r="I326" s="30"/>
    </row>
    <row r="327" ht="18.75" customHeight="1">
      <c r="A327" s="31"/>
      <c r="B327" s="31"/>
      <c r="C327" s="31"/>
      <c r="D327" s="31"/>
      <c r="E327" s="31"/>
      <c r="F327" s="31"/>
      <c r="G327" s="31"/>
      <c r="H327" s="23" t="str">
        <f t="shared" si="40"/>
        <v/>
      </c>
      <c r="I327" s="31"/>
    </row>
    <row r="328" ht="18.75" customHeight="1">
      <c r="A328" s="30"/>
      <c r="B328" s="30"/>
      <c r="C328" s="30"/>
      <c r="D328" s="30"/>
      <c r="E328" s="30"/>
      <c r="F328" s="30"/>
      <c r="G328" s="30"/>
      <c r="H328" s="27" t="str">
        <f t="shared" si="40"/>
        <v/>
      </c>
      <c r="I328" s="30"/>
    </row>
    <row r="329" ht="18.75" customHeight="1">
      <c r="A329" s="31"/>
      <c r="B329" s="31"/>
      <c r="C329" s="31"/>
      <c r="D329" s="31"/>
      <c r="E329" s="31"/>
      <c r="F329" s="31"/>
      <c r="G329" s="31"/>
      <c r="H329" s="23" t="str">
        <f t="shared" si="40"/>
        <v/>
      </c>
      <c r="I329" s="31"/>
    </row>
    <row r="330" ht="18.75" customHeight="1">
      <c r="A330" s="30"/>
      <c r="B330" s="30"/>
      <c r="C330" s="30"/>
      <c r="D330" s="30"/>
      <c r="E330" s="30"/>
      <c r="F330" s="30"/>
      <c r="G330" s="30"/>
      <c r="H330" s="27" t="str">
        <f t="shared" si="40"/>
        <v/>
      </c>
      <c r="I330" s="30"/>
    </row>
    <row r="331" ht="18.75" customHeight="1">
      <c r="A331" s="31"/>
      <c r="B331" s="31"/>
      <c r="C331" s="31"/>
      <c r="D331" s="31"/>
      <c r="E331" s="31"/>
      <c r="F331" s="31"/>
      <c r="G331" s="31"/>
      <c r="H331" s="23" t="str">
        <f t="shared" si="40"/>
        <v/>
      </c>
      <c r="I331" s="31"/>
    </row>
    <row r="332" ht="18.75" customHeight="1">
      <c r="A332" s="30"/>
      <c r="B332" s="30"/>
      <c r="C332" s="30"/>
      <c r="D332" s="30"/>
      <c r="E332" s="30"/>
      <c r="F332" s="30"/>
      <c r="G332" s="30"/>
      <c r="H332" s="27" t="str">
        <f t="shared" si="40"/>
        <v/>
      </c>
      <c r="I332" s="30"/>
    </row>
    <row r="333" ht="18.75" customHeight="1">
      <c r="A333" s="31"/>
      <c r="B333" s="31"/>
      <c r="C333" s="31"/>
      <c r="D333" s="31"/>
      <c r="E333" s="31"/>
      <c r="F333" s="31"/>
      <c r="G333" s="31"/>
      <c r="H333" s="23" t="str">
        <f t="shared" si="40"/>
        <v/>
      </c>
      <c r="I333" s="31"/>
    </row>
    <row r="334" ht="18.75" customHeight="1">
      <c r="A334" s="30"/>
      <c r="B334" s="30"/>
      <c r="C334" s="30"/>
      <c r="D334" s="30"/>
      <c r="E334" s="30"/>
      <c r="F334" s="30"/>
      <c r="G334" s="30"/>
      <c r="H334" s="27" t="str">
        <f t="shared" si="40"/>
        <v/>
      </c>
      <c r="I334" s="30"/>
    </row>
    <row r="335" ht="18.75" customHeight="1">
      <c r="A335" s="31"/>
      <c r="B335" s="31"/>
      <c r="C335" s="31"/>
      <c r="D335" s="31"/>
      <c r="E335" s="31"/>
      <c r="F335" s="31"/>
      <c r="G335" s="31"/>
      <c r="H335" s="23" t="str">
        <f t="shared" si="40"/>
        <v/>
      </c>
      <c r="I335" s="31"/>
    </row>
    <row r="336" ht="18.75" customHeight="1">
      <c r="A336" s="30"/>
      <c r="B336" s="30"/>
      <c r="C336" s="30"/>
      <c r="D336" s="30"/>
      <c r="E336" s="30"/>
      <c r="F336" s="30"/>
      <c r="G336" s="30"/>
      <c r="H336" s="27" t="str">
        <f t="shared" si="40"/>
        <v/>
      </c>
      <c r="I336" s="30"/>
    </row>
    <row r="337" ht="18.75" customHeight="1">
      <c r="A337" s="31"/>
      <c r="B337" s="31"/>
      <c r="C337" s="31"/>
      <c r="D337" s="31"/>
      <c r="E337" s="31"/>
      <c r="F337" s="31"/>
      <c r="G337" s="31"/>
      <c r="H337" s="23" t="str">
        <f t="shared" si="40"/>
        <v/>
      </c>
      <c r="I337" s="31"/>
    </row>
    <row r="338" ht="18.75" customHeight="1">
      <c r="A338" s="30"/>
      <c r="B338" s="30"/>
      <c r="C338" s="30"/>
      <c r="D338" s="30"/>
      <c r="E338" s="30"/>
      <c r="F338" s="30"/>
      <c r="G338" s="30"/>
      <c r="H338" s="27" t="str">
        <f t="shared" si="40"/>
        <v/>
      </c>
      <c r="I338" s="30"/>
    </row>
    <row r="339" ht="18.75" customHeight="1">
      <c r="A339" s="31"/>
      <c r="B339" s="31"/>
      <c r="C339" s="31"/>
      <c r="D339" s="31"/>
      <c r="E339" s="31"/>
      <c r="F339" s="31"/>
      <c r="G339" s="31"/>
      <c r="H339" s="23" t="str">
        <f t="shared" si="40"/>
        <v/>
      </c>
      <c r="I339" s="31"/>
    </row>
    <row r="340" ht="18.75" customHeight="1">
      <c r="A340" s="30"/>
      <c r="B340" s="30"/>
      <c r="C340" s="30"/>
      <c r="D340" s="30"/>
      <c r="E340" s="30"/>
      <c r="F340" s="30"/>
      <c r="G340" s="30"/>
      <c r="H340" s="27" t="str">
        <f t="shared" si="40"/>
        <v/>
      </c>
      <c r="I340" s="30"/>
    </row>
    <row r="341" ht="18.75" customHeight="1">
      <c r="A341" s="31"/>
      <c r="B341" s="31"/>
      <c r="C341" s="31"/>
      <c r="D341" s="31"/>
      <c r="E341" s="31"/>
      <c r="F341" s="31"/>
      <c r="G341" s="31"/>
      <c r="H341" s="23" t="str">
        <f t="shared" si="40"/>
        <v/>
      </c>
      <c r="I341" s="31"/>
    </row>
    <row r="342" ht="18.75" customHeight="1">
      <c r="A342" s="30"/>
      <c r="B342" s="30"/>
      <c r="C342" s="30"/>
      <c r="D342" s="30"/>
      <c r="E342" s="30"/>
      <c r="F342" s="30"/>
      <c r="G342" s="30"/>
      <c r="H342" s="27" t="str">
        <f t="shared" si="40"/>
        <v/>
      </c>
      <c r="I342" s="30"/>
    </row>
    <row r="343" ht="18.75" customHeight="1">
      <c r="A343" s="31"/>
      <c r="B343" s="31"/>
      <c r="C343" s="31"/>
      <c r="D343" s="31"/>
      <c r="E343" s="31"/>
      <c r="F343" s="31"/>
      <c r="G343" s="31"/>
      <c r="H343" s="23" t="str">
        <f t="shared" si="40"/>
        <v/>
      </c>
      <c r="I343" s="31"/>
    </row>
    <row r="344" ht="24.0" customHeight="1">
      <c r="A344" s="37" t="s">
        <v>71</v>
      </c>
      <c r="B344" s="38"/>
      <c r="C344" s="38"/>
      <c r="D344" s="38"/>
      <c r="E344" s="39"/>
      <c r="F344" s="40">
        <f t="shared" ref="F344:G344" si="41">SUM(F11:F343)</f>
        <v>3200000</v>
      </c>
      <c r="G344" s="40">
        <f t="shared" si="41"/>
        <v>0</v>
      </c>
      <c r="H344" s="40">
        <f>F344-G344</f>
        <v>3200000</v>
      </c>
      <c r="I344" s="49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9:C9"/>
    <mergeCell ref="A344:E344"/>
    <mergeCell ref="A1:I1"/>
    <mergeCell ref="A2:I2"/>
    <mergeCell ref="B4:C4"/>
    <mergeCell ref="B5:C5"/>
    <mergeCell ref="B6:C6"/>
    <mergeCell ref="B7:C7"/>
    <mergeCell ref="B8:C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21.57"/>
    <col customWidth="1" min="4" max="4" width="31.57"/>
    <col customWidth="1" min="5" max="5" width="20.0"/>
    <col customWidth="1" min="6" max="6" width="18.0"/>
    <col customWidth="1" min="7" max="7" width="20.0"/>
    <col customWidth="1" min="8" max="9" width="18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 ht="18.0" customHeight="1">
      <c r="A2" s="5" t="s">
        <v>6</v>
      </c>
      <c r="B2" s="2"/>
      <c r="C2" s="2"/>
      <c r="D2" s="2"/>
      <c r="E2" s="2"/>
      <c r="F2" s="2"/>
      <c r="G2" s="2"/>
      <c r="H2" s="2"/>
      <c r="I2" s="4"/>
    </row>
    <row r="4" ht="19.5" customHeight="1">
      <c r="B4" s="6" t="s">
        <v>8</v>
      </c>
      <c r="C4" s="7"/>
      <c r="D4" s="9">
        <f>F345</f>
        <v>300000</v>
      </c>
    </row>
    <row r="5" ht="19.5" customHeight="1">
      <c r="B5" s="6" t="s">
        <v>12</v>
      </c>
      <c r="C5" s="7"/>
      <c r="D5" s="9">
        <f>G345</f>
        <v>0</v>
      </c>
    </row>
    <row r="6" ht="19.5" customHeight="1">
      <c r="B6" s="11" t="s">
        <v>13</v>
      </c>
      <c r="C6" s="7"/>
      <c r="D6" s="12">
        <f>D4-D5</f>
        <v>300000</v>
      </c>
    </row>
    <row r="7" ht="19.5" customHeight="1">
      <c r="B7" s="11" t="s">
        <v>15</v>
      </c>
      <c r="C7" s="7"/>
      <c r="D7" s="14">
        <f>Resume!G16</f>
        <v>300000</v>
      </c>
    </row>
    <row r="8" ht="19.5" customHeight="1">
      <c r="B8" s="11" t="s">
        <v>17</v>
      </c>
      <c r="C8" s="7"/>
      <c r="D8" s="15">
        <f>D7-D6</f>
        <v>0</v>
      </c>
    </row>
    <row r="9" ht="19.5" customHeight="1">
      <c r="B9" s="11" t="s">
        <v>18</v>
      </c>
      <c r="C9" s="7"/>
      <c r="D9" s="16" t="str">
        <f>IF(D8=0, "✅ PAS / KLOP (Uang Fisik Sesuai)", IF(D8&lt;0, "❌ FISIK TEKOR / KURANG " &amp; TEXT(ABS(D8), "Rp #,##0"), "⚠️ FISIK LEBIH"))</f>
        <v>✅ PAS / KLOP (Uang Fisik Sesuai)</v>
      </c>
    </row>
    <row r="11" ht="25.5" customHeight="1">
      <c r="A11" s="17" t="s">
        <v>21</v>
      </c>
      <c r="B11" s="17" t="s">
        <v>22</v>
      </c>
      <c r="C11" s="17" t="s">
        <v>23</v>
      </c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29</v>
      </c>
      <c r="I11" s="17" t="s">
        <v>30</v>
      </c>
    </row>
    <row r="12" ht="19.5" customHeight="1">
      <c r="A12" s="18">
        <v>1.0</v>
      </c>
      <c r="B12" s="18" t="s">
        <v>31</v>
      </c>
      <c r="C12" s="18" t="s">
        <v>33</v>
      </c>
      <c r="D12" s="19" t="s">
        <v>35</v>
      </c>
      <c r="E12" s="20" t="s">
        <v>38</v>
      </c>
      <c r="F12" s="21">
        <v>300000.0</v>
      </c>
      <c r="G12" s="23"/>
      <c r="H12" s="22">
        <f t="shared" ref="H12:H21" si="1">IF(AND(F12="", G12=""), "", SUM($F$12:F12)-SUM($G$12:G12))</f>
        <v>300000</v>
      </c>
      <c r="I12" s="20" t="s">
        <v>41</v>
      </c>
    </row>
    <row r="13" ht="18.75" customHeight="1">
      <c r="A13" s="30"/>
      <c r="B13" s="30"/>
      <c r="C13" s="30"/>
      <c r="D13" s="30"/>
      <c r="E13" s="30"/>
      <c r="F13" s="30"/>
      <c r="G13" s="30"/>
      <c r="H13" s="27" t="str">
        <f t="shared" si="1"/>
        <v/>
      </c>
      <c r="I13" s="30"/>
    </row>
    <row r="14" ht="18.75" customHeight="1">
      <c r="A14" s="31"/>
      <c r="B14" s="31"/>
      <c r="C14" s="31"/>
      <c r="D14" s="31"/>
      <c r="E14" s="31"/>
      <c r="F14" s="31"/>
      <c r="G14" s="31"/>
      <c r="H14" s="23" t="str">
        <f t="shared" si="1"/>
        <v/>
      </c>
      <c r="I14" s="31"/>
    </row>
    <row r="15" ht="18.75" customHeight="1">
      <c r="A15" s="30"/>
      <c r="B15" s="30"/>
      <c r="C15" s="30"/>
      <c r="D15" s="30"/>
      <c r="E15" s="30"/>
      <c r="F15" s="30"/>
      <c r="G15" s="30"/>
      <c r="H15" s="27" t="str">
        <f t="shared" si="1"/>
        <v/>
      </c>
      <c r="I15" s="30"/>
    </row>
    <row r="16" ht="18.75" customHeight="1">
      <c r="A16" s="31"/>
      <c r="B16" s="31"/>
      <c r="C16" s="31"/>
      <c r="D16" s="31"/>
      <c r="E16" s="31"/>
      <c r="F16" s="31"/>
      <c r="G16" s="31"/>
      <c r="H16" s="23" t="str">
        <f t="shared" si="1"/>
        <v/>
      </c>
      <c r="I16" s="31"/>
    </row>
    <row r="17" ht="18.75" customHeight="1">
      <c r="A17" s="30"/>
      <c r="B17" s="30"/>
      <c r="C17" s="30"/>
      <c r="D17" s="30"/>
      <c r="E17" s="30"/>
      <c r="F17" s="30"/>
      <c r="G17" s="30"/>
      <c r="H17" s="27" t="str">
        <f t="shared" si="1"/>
        <v/>
      </c>
      <c r="I17" s="30"/>
    </row>
    <row r="18" ht="18.75" customHeight="1">
      <c r="A18" s="31"/>
      <c r="B18" s="31"/>
      <c r="C18" s="31"/>
      <c r="D18" s="31"/>
      <c r="E18" s="31"/>
      <c r="F18" s="31"/>
      <c r="G18" s="31"/>
      <c r="H18" s="23" t="str">
        <f t="shared" si="1"/>
        <v/>
      </c>
      <c r="I18" s="31"/>
    </row>
    <row r="19" ht="18.75" customHeight="1">
      <c r="A19" s="30"/>
      <c r="B19" s="30"/>
      <c r="C19" s="30"/>
      <c r="D19" s="30"/>
      <c r="E19" s="30"/>
      <c r="F19" s="30"/>
      <c r="G19" s="30"/>
      <c r="H19" s="27" t="str">
        <f t="shared" si="1"/>
        <v/>
      </c>
      <c r="I19" s="30"/>
    </row>
    <row r="20" ht="18.75" customHeight="1">
      <c r="A20" s="31"/>
      <c r="B20" s="31"/>
      <c r="C20" s="31"/>
      <c r="D20" s="31"/>
      <c r="E20" s="31"/>
      <c r="F20" s="31"/>
      <c r="G20" s="31"/>
      <c r="H20" s="23" t="str">
        <f t="shared" si="1"/>
        <v/>
      </c>
      <c r="I20" s="31"/>
    </row>
    <row r="21" ht="18.75" customHeight="1">
      <c r="A21" s="30"/>
      <c r="B21" s="30"/>
      <c r="C21" s="30"/>
      <c r="D21" s="30"/>
      <c r="E21" s="30"/>
      <c r="F21" s="30"/>
      <c r="G21" s="30"/>
      <c r="H21" s="27" t="str">
        <f t="shared" si="1"/>
        <v/>
      </c>
      <c r="I21" s="30"/>
    </row>
    <row r="22" ht="18.75" customHeight="1">
      <c r="A22" s="31"/>
      <c r="B22" s="31"/>
      <c r="C22" s="31"/>
      <c r="D22" s="31"/>
      <c r="E22" s="31"/>
      <c r="F22" s="31"/>
      <c r="G22" s="31"/>
      <c r="H22" s="23"/>
      <c r="I22" s="31"/>
    </row>
    <row r="23" ht="18.75" customHeight="1">
      <c r="A23" s="30"/>
      <c r="B23" s="30"/>
      <c r="C23" s="30"/>
      <c r="D23" s="30"/>
      <c r="E23" s="30"/>
      <c r="F23" s="30"/>
      <c r="G23" s="30"/>
      <c r="H23" s="27" t="str">
        <f t="shared" ref="H23:H29" si="2">IF(AND(F23="", G23=""), "", SUM($F$12:F23)-SUM($G$12:G23))</f>
        <v/>
      </c>
      <c r="I23" s="30"/>
    </row>
    <row r="24" ht="18.75" customHeight="1">
      <c r="A24" s="31"/>
      <c r="B24" s="31"/>
      <c r="C24" s="31"/>
      <c r="D24" s="31"/>
      <c r="E24" s="31"/>
      <c r="F24" s="31"/>
      <c r="G24" s="31"/>
      <c r="H24" s="23" t="str">
        <f t="shared" si="2"/>
        <v/>
      </c>
      <c r="I24" s="31"/>
    </row>
    <row r="25" ht="18.75" customHeight="1">
      <c r="A25" s="30"/>
      <c r="B25" s="30"/>
      <c r="C25" s="30"/>
      <c r="D25" s="30"/>
      <c r="E25" s="30"/>
      <c r="F25" s="30"/>
      <c r="G25" s="30"/>
      <c r="H25" s="27" t="str">
        <f t="shared" si="2"/>
        <v/>
      </c>
      <c r="I25" s="30"/>
    </row>
    <row r="26" ht="18.75" customHeight="1">
      <c r="A26" s="31"/>
      <c r="B26" s="31"/>
      <c r="C26" s="31"/>
      <c r="D26" s="31"/>
      <c r="E26" s="31"/>
      <c r="F26" s="31"/>
      <c r="G26" s="31"/>
      <c r="H26" s="23" t="str">
        <f t="shared" si="2"/>
        <v/>
      </c>
      <c r="I26" s="31"/>
    </row>
    <row r="27" ht="18.75" customHeight="1">
      <c r="A27" s="30"/>
      <c r="B27" s="30"/>
      <c r="C27" s="30"/>
      <c r="D27" s="30"/>
      <c r="E27" s="30"/>
      <c r="F27" s="30"/>
      <c r="G27" s="30"/>
      <c r="H27" s="27" t="str">
        <f t="shared" si="2"/>
        <v/>
      </c>
      <c r="I27" s="30"/>
    </row>
    <row r="28" ht="18.75" customHeight="1">
      <c r="A28" s="31"/>
      <c r="B28" s="31"/>
      <c r="C28" s="31"/>
      <c r="D28" s="31"/>
      <c r="E28" s="31"/>
      <c r="F28" s="31"/>
      <c r="G28" s="31"/>
      <c r="H28" s="23" t="str">
        <f t="shared" si="2"/>
        <v/>
      </c>
      <c r="I28" s="31"/>
    </row>
    <row r="29" ht="18.75" customHeight="1">
      <c r="A29" s="30"/>
      <c r="B29" s="30"/>
      <c r="C29" s="30"/>
      <c r="D29" s="30"/>
      <c r="E29" s="30"/>
      <c r="F29" s="30"/>
      <c r="G29" s="30"/>
      <c r="H29" s="27" t="str">
        <f t="shared" si="2"/>
        <v/>
      </c>
      <c r="I29" s="30"/>
    </row>
    <row r="30" ht="18.75" customHeight="1">
      <c r="A30" s="31"/>
      <c r="B30" s="31"/>
      <c r="C30" s="31"/>
      <c r="D30" s="31"/>
      <c r="E30" s="31"/>
      <c r="F30" s="31"/>
      <c r="G30" s="31"/>
      <c r="H30" s="23"/>
      <c r="I30" s="31"/>
    </row>
    <row r="31" ht="18.75" customHeight="1">
      <c r="A31" s="30"/>
      <c r="B31" s="30"/>
      <c r="C31" s="30"/>
      <c r="D31" s="30"/>
      <c r="E31" s="30"/>
      <c r="F31" s="30"/>
      <c r="G31" s="30"/>
      <c r="H31" s="27" t="str">
        <f t="shared" ref="H31:H37" si="3">IF(AND(F31="", G31=""), "", SUM($F$12:F31)-SUM($G$12:G31))</f>
        <v/>
      </c>
      <c r="I31" s="30"/>
    </row>
    <row r="32" ht="18.75" customHeight="1">
      <c r="A32" s="31"/>
      <c r="B32" s="31"/>
      <c r="C32" s="31"/>
      <c r="D32" s="31"/>
      <c r="E32" s="31"/>
      <c r="F32" s="31"/>
      <c r="G32" s="31"/>
      <c r="H32" s="23" t="str">
        <f t="shared" si="3"/>
        <v/>
      </c>
      <c r="I32" s="31"/>
    </row>
    <row r="33" ht="18.75" customHeight="1">
      <c r="A33" s="30"/>
      <c r="B33" s="30"/>
      <c r="C33" s="30"/>
      <c r="D33" s="30"/>
      <c r="E33" s="30"/>
      <c r="F33" s="30"/>
      <c r="G33" s="30"/>
      <c r="H33" s="27" t="str">
        <f t="shared" si="3"/>
        <v/>
      </c>
      <c r="I33" s="30"/>
    </row>
    <row r="34" ht="18.75" customHeight="1">
      <c r="A34" s="31"/>
      <c r="B34" s="31"/>
      <c r="C34" s="31"/>
      <c r="D34" s="31"/>
      <c r="E34" s="31"/>
      <c r="F34" s="31"/>
      <c r="G34" s="31"/>
      <c r="H34" s="23" t="str">
        <f t="shared" si="3"/>
        <v/>
      </c>
      <c r="I34" s="31"/>
    </row>
    <row r="35" ht="18.75" customHeight="1">
      <c r="A35" s="30"/>
      <c r="B35" s="30"/>
      <c r="C35" s="30"/>
      <c r="D35" s="30"/>
      <c r="E35" s="30"/>
      <c r="F35" s="30"/>
      <c r="G35" s="30"/>
      <c r="H35" s="27" t="str">
        <f t="shared" si="3"/>
        <v/>
      </c>
      <c r="I35" s="30"/>
    </row>
    <row r="36" ht="18.75" customHeight="1">
      <c r="A36" s="31"/>
      <c r="B36" s="31"/>
      <c r="C36" s="31"/>
      <c r="D36" s="31"/>
      <c r="E36" s="31"/>
      <c r="F36" s="31"/>
      <c r="G36" s="31"/>
      <c r="H36" s="23" t="str">
        <f t="shared" si="3"/>
        <v/>
      </c>
      <c r="I36" s="31"/>
    </row>
    <row r="37" ht="18.75" customHeight="1">
      <c r="A37" s="30"/>
      <c r="B37" s="30"/>
      <c r="C37" s="30"/>
      <c r="D37" s="30"/>
      <c r="E37" s="30"/>
      <c r="F37" s="30"/>
      <c r="G37" s="30"/>
      <c r="H37" s="27" t="str">
        <f t="shared" si="3"/>
        <v/>
      </c>
      <c r="I37" s="30"/>
    </row>
    <row r="38" ht="18.75" customHeight="1">
      <c r="A38" s="31"/>
      <c r="B38" s="31"/>
      <c r="C38" s="31"/>
      <c r="D38" s="31"/>
      <c r="E38" s="31"/>
      <c r="F38" s="31"/>
      <c r="G38" s="31"/>
      <c r="H38" s="23"/>
      <c r="I38" s="31"/>
    </row>
    <row r="39" ht="18.75" customHeight="1">
      <c r="A39" s="30"/>
      <c r="B39" s="30"/>
      <c r="C39" s="30"/>
      <c r="D39" s="30"/>
      <c r="E39" s="30"/>
      <c r="F39" s="30"/>
      <c r="G39" s="30"/>
      <c r="H39" s="27" t="str">
        <f t="shared" ref="H39:H45" si="4">IF(AND(F39="", G39=""), "", SUM($F$12:F39)-SUM($G$12:G39))</f>
        <v/>
      </c>
      <c r="I39" s="30"/>
    </row>
    <row r="40" ht="18.75" customHeight="1">
      <c r="A40" s="31"/>
      <c r="B40" s="31"/>
      <c r="C40" s="31"/>
      <c r="D40" s="31"/>
      <c r="E40" s="31"/>
      <c r="F40" s="31"/>
      <c r="G40" s="31"/>
      <c r="H40" s="23" t="str">
        <f t="shared" si="4"/>
        <v/>
      </c>
      <c r="I40" s="31"/>
    </row>
    <row r="41" ht="18.75" customHeight="1">
      <c r="A41" s="30"/>
      <c r="B41" s="30"/>
      <c r="C41" s="30"/>
      <c r="D41" s="30"/>
      <c r="E41" s="30"/>
      <c r="F41" s="30"/>
      <c r="G41" s="30"/>
      <c r="H41" s="27" t="str">
        <f t="shared" si="4"/>
        <v/>
      </c>
      <c r="I41" s="30"/>
    </row>
    <row r="42" ht="18.75" customHeight="1">
      <c r="A42" s="31"/>
      <c r="B42" s="31"/>
      <c r="C42" s="31"/>
      <c r="D42" s="31"/>
      <c r="E42" s="31"/>
      <c r="F42" s="31"/>
      <c r="G42" s="31"/>
      <c r="H42" s="23" t="str">
        <f t="shared" si="4"/>
        <v/>
      </c>
      <c r="I42" s="31"/>
    </row>
    <row r="43" ht="18.75" customHeight="1">
      <c r="A43" s="30"/>
      <c r="B43" s="30"/>
      <c r="C43" s="30"/>
      <c r="D43" s="30"/>
      <c r="E43" s="30"/>
      <c r="F43" s="30"/>
      <c r="G43" s="30"/>
      <c r="H43" s="27" t="str">
        <f t="shared" si="4"/>
        <v/>
      </c>
      <c r="I43" s="30"/>
    </row>
    <row r="44" ht="18.75" customHeight="1">
      <c r="A44" s="31"/>
      <c r="B44" s="31"/>
      <c r="C44" s="31"/>
      <c r="D44" s="31"/>
      <c r="E44" s="31"/>
      <c r="F44" s="31"/>
      <c r="G44" s="31"/>
      <c r="H44" s="23" t="str">
        <f t="shared" si="4"/>
        <v/>
      </c>
      <c r="I44" s="31"/>
    </row>
    <row r="45" ht="18.75" customHeight="1">
      <c r="A45" s="30"/>
      <c r="B45" s="30"/>
      <c r="C45" s="30"/>
      <c r="D45" s="30"/>
      <c r="E45" s="30"/>
      <c r="F45" s="30"/>
      <c r="G45" s="30"/>
      <c r="H45" s="27" t="str">
        <f t="shared" si="4"/>
        <v/>
      </c>
      <c r="I45" s="30"/>
    </row>
    <row r="46" ht="18.75" customHeight="1">
      <c r="A46" s="31"/>
      <c r="B46" s="31"/>
      <c r="C46" s="31"/>
      <c r="D46" s="31"/>
      <c r="E46" s="31"/>
      <c r="F46" s="31"/>
      <c r="G46" s="31"/>
      <c r="H46" s="23"/>
      <c r="I46" s="31"/>
    </row>
    <row r="47" ht="18.75" customHeight="1">
      <c r="A47" s="30"/>
      <c r="B47" s="30"/>
      <c r="C47" s="30"/>
      <c r="D47" s="30"/>
      <c r="E47" s="30"/>
      <c r="F47" s="30"/>
      <c r="G47" s="30"/>
      <c r="H47" s="27" t="str">
        <f t="shared" ref="H47:H53" si="5">IF(AND(F47="", G47=""), "", SUM($F$12:F47)-SUM($G$12:G47))</f>
        <v/>
      </c>
      <c r="I47" s="30"/>
    </row>
    <row r="48" ht="18.75" customHeight="1">
      <c r="A48" s="31"/>
      <c r="B48" s="31"/>
      <c r="C48" s="31"/>
      <c r="D48" s="31"/>
      <c r="E48" s="31"/>
      <c r="F48" s="31"/>
      <c r="G48" s="31"/>
      <c r="H48" s="23" t="str">
        <f t="shared" si="5"/>
        <v/>
      </c>
      <c r="I48" s="31"/>
    </row>
    <row r="49" ht="18.75" customHeight="1">
      <c r="A49" s="30"/>
      <c r="B49" s="30"/>
      <c r="C49" s="30"/>
      <c r="D49" s="30"/>
      <c r="E49" s="30"/>
      <c r="F49" s="30"/>
      <c r="G49" s="30"/>
      <c r="H49" s="27" t="str">
        <f t="shared" si="5"/>
        <v/>
      </c>
      <c r="I49" s="30"/>
    </row>
    <row r="50" ht="18.75" customHeight="1">
      <c r="A50" s="31"/>
      <c r="B50" s="31"/>
      <c r="C50" s="31"/>
      <c r="D50" s="31"/>
      <c r="E50" s="31"/>
      <c r="F50" s="31"/>
      <c r="G50" s="31"/>
      <c r="H50" s="23" t="str">
        <f t="shared" si="5"/>
        <v/>
      </c>
      <c r="I50" s="31"/>
    </row>
    <row r="51" ht="18.75" customHeight="1">
      <c r="A51" s="30"/>
      <c r="B51" s="30"/>
      <c r="C51" s="30"/>
      <c r="D51" s="30"/>
      <c r="E51" s="30"/>
      <c r="F51" s="30"/>
      <c r="G51" s="30"/>
      <c r="H51" s="27" t="str">
        <f t="shared" si="5"/>
        <v/>
      </c>
      <c r="I51" s="30"/>
    </row>
    <row r="52" ht="18.75" customHeight="1">
      <c r="A52" s="31"/>
      <c r="B52" s="31"/>
      <c r="C52" s="31"/>
      <c r="D52" s="31"/>
      <c r="E52" s="31"/>
      <c r="F52" s="31"/>
      <c r="G52" s="31"/>
      <c r="H52" s="23" t="str">
        <f t="shared" si="5"/>
        <v/>
      </c>
      <c r="I52" s="31"/>
    </row>
    <row r="53" ht="18.75" customHeight="1">
      <c r="A53" s="30"/>
      <c r="B53" s="30"/>
      <c r="C53" s="30"/>
      <c r="D53" s="30"/>
      <c r="E53" s="30"/>
      <c r="F53" s="30"/>
      <c r="G53" s="30"/>
      <c r="H53" s="27" t="str">
        <f t="shared" si="5"/>
        <v/>
      </c>
      <c r="I53" s="30"/>
    </row>
    <row r="54" ht="18.75" customHeight="1">
      <c r="A54" s="31"/>
      <c r="B54" s="31"/>
      <c r="C54" s="31"/>
      <c r="D54" s="31"/>
      <c r="E54" s="31"/>
      <c r="F54" s="31"/>
      <c r="G54" s="31"/>
      <c r="H54" s="23"/>
      <c r="I54" s="31"/>
    </row>
    <row r="55" ht="18.75" customHeight="1">
      <c r="A55" s="30"/>
      <c r="B55" s="30"/>
      <c r="C55" s="30"/>
      <c r="D55" s="30"/>
      <c r="E55" s="30"/>
      <c r="F55" s="30"/>
      <c r="G55" s="30"/>
      <c r="H55" s="27" t="str">
        <f t="shared" ref="H55:H61" si="6">IF(AND(F55="", G55=""), "", SUM($F$12:F55)-SUM($G$12:G55))</f>
        <v/>
      </c>
      <c r="I55" s="30"/>
    </row>
    <row r="56" ht="18.75" customHeight="1">
      <c r="A56" s="31"/>
      <c r="B56" s="31"/>
      <c r="C56" s="31"/>
      <c r="D56" s="31"/>
      <c r="E56" s="31"/>
      <c r="F56" s="31"/>
      <c r="G56" s="31"/>
      <c r="H56" s="23" t="str">
        <f t="shared" si="6"/>
        <v/>
      </c>
      <c r="I56" s="31"/>
    </row>
    <row r="57" ht="18.75" customHeight="1">
      <c r="A57" s="30"/>
      <c r="B57" s="30"/>
      <c r="C57" s="30"/>
      <c r="D57" s="30"/>
      <c r="E57" s="30"/>
      <c r="F57" s="30"/>
      <c r="G57" s="30"/>
      <c r="H57" s="27" t="str">
        <f t="shared" si="6"/>
        <v/>
      </c>
      <c r="I57" s="30"/>
    </row>
    <row r="58" ht="18.75" customHeight="1">
      <c r="A58" s="31"/>
      <c r="B58" s="31"/>
      <c r="C58" s="31"/>
      <c r="D58" s="31"/>
      <c r="E58" s="31"/>
      <c r="F58" s="31"/>
      <c r="G58" s="31"/>
      <c r="H58" s="23" t="str">
        <f t="shared" si="6"/>
        <v/>
      </c>
      <c r="I58" s="31"/>
    </row>
    <row r="59" ht="18.75" customHeight="1">
      <c r="A59" s="30"/>
      <c r="B59" s="30"/>
      <c r="C59" s="30"/>
      <c r="D59" s="30"/>
      <c r="E59" s="30"/>
      <c r="F59" s="30"/>
      <c r="G59" s="30"/>
      <c r="H59" s="27" t="str">
        <f t="shared" si="6"/>
        <v/>
      </c>
      <c r="I59" s="30"/>
    </row>
    <row r="60" ht="18.75" customHeight="1">
      <c r="A60" s="31"/>
      <c r="B60" s="31"/>
      <c r="C60" s="31"/>
      <c r="D60" s="31"/>
      <c r="E60" s="31"/>
      <c r="F60" s="31"/>
      <c r="G60" s="31"/>
      <c r="H60" s="23" t="str">
        <f t="shared" si="6"/>
        <v/>
      </c>
      <c r="I60" s="31"/>
    </row>
    <row r="61" ht="18.75" customHeight="1">
      <c r="A61" s="30"/>
      <c r="B61" s="30"/>
      <c r="C61" s="30"/>
      <c r="D61" s="30"/>
      <c r="E61" s="30"/>
      <c r="F61" s="30"/>
      <c r="G61" s="30"/>
      <c r="H61" s="27" t="str">
        <f t="shared" si="6"/>
        <v/>
      </c>
      <c r="I61" s="30"/>
    </row>
    <row r="62" ht="18.75" customHeight="1">
      <c r="A62" s="31"/>
      <c r="B62" s="31"/>
      <c r="C62" s="31"/>
      <c r="D62" s="31"/>
      <c r="E62" s="31"/>
      <c r="F62" s="31"/>
      <c r="G62" s="31"/>
      <c r="H62" s="23"/>
      <c r="I62" s="31"/>
    </row>
    <row r="63" ht="18.75" customHeight="1">
      <c r="A63" s="30"/>
      <c r="B63" s="30"/>
      <c r="C63" s="30"/>
      <c r="D63" s="30"/>
      <c r="E63" s="30"/>
      <c r="F63" s="30"/>
      <c r="G63" s="30"/>
      <c r="H63" s="27" t="str">
        <f t="shared" ref="H63:H69" si="7">IF(AND(F63="", G63=""), "", SUM($F$12:F63)-SUM($G$12:G63))</f>
        <v/>
      </c>
      <c r="I63" s="30"/>
    </row>
    <row r="64" ht="18.75" customHeight="1">
      <c r="A64" s="31"/>
      <c r="B64" s="31"/>
      <c r="C64" s="31"/>
      <c r="D64" s="31"/>
      <c r="E64" s="31"/>
      <c r="F64" s="31"/>
      <c r="G64" s="31"/>
      <c r="H64" s="23" t="str">
        <f t="shared" si="7"/>
        <v/>
      </c>
      <c r="I64" s="31"/>
    </row>
    <row r="65" ht="18.75" customHeight="1">
      <c r="A65" s="30"/>
      <c r="B65" s="30"/>
      <c r="C65" s="30"/>
      <c r="D65" s="30"/>
      <c r="E65" s="30"/>
      <c r="F65" s="30"/>
      <c r="G65" s="30"/>
      <c r="H65" s="27" t="str">
        <f t="shared" si="7"/>
        <v/>
      </c>
      <c r="I65" s="30"/>
    </row>
    <row r="66" ht="18.75" customHeight="1">
      <c r="A66" s="31"/>
      <c r="B66" s="31"/>
      <c r="C66" s="31"/>
      <c r="D66" s="31"/>
      <c r="E66" s="31"/>
      <c r="F66" s="31"/>
      <c r="G66" s="31"/>
      <c r="H66" s="23" t="str">
        <f t="shared" si="7"/>
        <v/>
      </c>
      <c r="I66" s="31"/>
    </row>
    <row r="67" ht="18.75" customHeight="1">
      <c r="A67" s="30"/>
      <c r="B67" s="30"/>
      <c r="C67" s="30"/>
      <c r="D67" s="30"/>
      <c r="E67" s="30"/>
      <c r="F67" s="30"/>
      <c r="G67" s="30"/>
      <c r="H67" s="27" t="str">
        <f t="shared" si="7"/>
        <v/>
      </c>
      <c r="I67" s="30"/>
    </row>
    <row r="68" ht="18.75" customHeight="1">
      <c r="A68" s="31"/>
      <c r="B68" s="31"/>
      <c r="C68" s="31"/>
      <c r="D68" s="31"/>
      <c r="E68" s="31"/>
      <c r="F68" s="31"/>
      <c r="G68" s="31"/>
      <c r="H68" s="23" t="str">
        <f t="shared" si="7"/>
        <v/>
      </c>
      <c r="I68" s="31"/>
    </row>
    <row r="69" ht="18.75" customHeight="1">
      <c r="A69" s="30"/>
      <c r="B69" s="30"/>
      <c r="C69" s="30"/>
      <c r="D69" s="30"/>
      <c r="E69" s="30"/>
      <c r="F69" s="30"/>
      <c r="G69" s="30"/>
      <c r="H69" s="27" t="str">
        <f t="shared" si="7"/>
        <v/>
      </c>
      <c r="I69" s="30"/>
    </row>
    <row r="70" ht="18.75" customHeight="1">
      <c r="A70" s="31"/>
      <c r="B70" s="31"/>
      <c r="C70" s="31"/>
      <c r="D70" s="31"/>
      <c r="E70" s="31"/>
      <c r="F70" s="31"/>
      <c r="G70" s="31"/>
      <c r="H70" s="23"/>
      <c r="I70" s="31"/>
    </row>
    <row r="71" ht="18.75" customHeight="1">
      <c r="A71" s="30"/>
      <c r="B71" s="30"/>
      <c r="C71" s="30"/>
      <c r="D71" s="30"/>
      <c r="E71" s="30"/>
      <c r="F71" s="30"/>
      <c r="G71" s="30"/>
      <c r="H71" s="27" t="str">
        <f t="shared" ref="H71:H77" si="8">IF(AND(F71="", G71=""), "", SUM($F$12:F71)-SUM($G$12:G71))</f>
        <v/>
      </c>
      <c r="I71" s="30"/>
    </row>
    <row r="72" ht="18.75" customHeight="1">
      <c r="A72" s="31"/>
      <c r="B72" s="31"/>
      <c r="C72" s="31"/>
      <c r="D72" s="31"/>
      <c r="E72" s="31"/>
      <c r="F72" s="31"/>
      <c r="G72" s="31"/>
      <c r="H72" s="23" t="str">
        <f t="shared" si="8"/>
        <v/>
      </c>
      <c r="I72" s="31"/>
    </row>
    <row r="73" ht="18.75" customHeight="1">
      <c r="A73" s="30"/>
      <c r="B73" s="30"/>
      <c r="C73" s="30"/>
      <c r="D73" s="30"/>
      <c r="E73" s="30"/>
      <c r="F73" s="30"/>
      <c r="G73" s="30"/>
      <c r="H73" s="27" t="str">
        <f t="shared" si="8"/>
        <v/>
      </c>
      <c r="I73" s="30"/>
    </row>
    <row r="74" ht="18.75" customHeight="1">
      <c r="A74" s="31"/>
      <c r="B74" s="31"/>
      <c r="C74" s="31"/>
      <c r="D74" s="31"/>
      <c r="E74" s="31"/>
      <c r="F74" s="31"/>
      <c r="G74" s="31"/>
      <c r="H74" s="23" t="str">
        <f t="shared" si="8"/>
        <v/>
      </c>
      <c r="I74" s="31"/>
    </row>
    <row r="75" ht="18.75" customHeight="1">
      <c r="A75" s="30"/>
      <c r="B75" s="30"/>
      <c r="C75" s="30"/>
      <c r="D75" s="30"/>
      <c r="E75" s="30"/>
      <c r="F75" s="30"/>
      <c r="G75" s="30"/>
      <c r="H75" s="27" t="str">
        <f t="shared" si="8"/>
        <v/>
      </c>
      <c r="I75" s="30"/>
    </row>
    <row r="76" ht="18.75" customHeight="1">
      <c r="A76" s="31"/>
      <c r="B76" s="31"/>
      <c r="C76" s="31"/>
      <c r="D76" s="31"/>
      <c r="E76" s="31"/>
      <c r="F76" s="31"/>
      <c r="G76" s="31"/>
      <c r="H76" s="23" t="str">
        <f t="shared" si="8"/>
        <v/>
      </c>
      <c r="I76" s="31"/>
    </row>
    <row r="77" ht="18.75" customHeight="1">
      <c r="A77" s="30"/>
      <c r="B77" s="30"/>
      <c r="C77" s="30"/>
      <c r="D77" s="30"/>
      <c r="E77" s="30"/>
      <c r="F77" s="30"/>
      <c r="G77" s="30"/>
      <c r="H77" s="27" t="str">
        <f t="shared" si="8"/>
        <v/>
      </c>
      <c r="I77" s="30"/>
    </row>
    <row r="78" ht="18.75" customHeight="1">
      <c r="A78" s="31"/>
      <c r="B78" s="31"/>
      <c r="C78" s="31"/>
      <c r="D78" s="31"/>
      <c r="E78" s="31"/>
      <c r="F78" s="31"/>
      <c r="G78" s="31"/>
      <c r="H78" s="23"/>
      <c r="I78" s="31"/>
    </row>
    <row r="79" ht="18.75" customHeight="1">
      <c r="A79" s="30"/>
      <c r="B79" s="30"/>
      <c r="C79" s="30"/>
      <c r="D79" s="30"/>
      <c r="E79" s="30"/>
      <c r="F79" s="30"/>
      <c r="G79" s="30"/>
      <c r="H79" s="27" t="str">
        <f t="shared" ref="H79:H85" si="9">IF(AND(F79="", G79=""), "", SUM($F$12:F79)-SUM($G$12:G79))</f>
        <v/>
      </c>
      <c r="I79" s="30"/>
    </row>
    <row r="80" ht="18.75" customHeight="1">
      <c r="A80" s="31"/>
      <c r="B80" s="31"/>
      <c r="C80" s="31"/>
      <c r="D80" s="31"/>
      <c r="E80" s="31"/>
      <c r="F80" s="31"/>
      <c r="G80" s="31"/>
      <c r="H80" s="23" t="str">
        <f t="shared" si="9"/>
        <v/>
      </c>
      <c r="I80" s="31"/>
    </row>
    <row r="81" ht="18.75" customHeight="1">
      <c r="A81" s="30"/>
      <c r="B81" s="30"/>
      <c r="C81" s="30"/>
      <c r="D81" s="30"/>
      <c r="E81" s="30"/>
      <c r="F81" s="30"/>
      <c r="G81" s="30"/>
      <c r="H81" s="27" t="str">
        <f t="shared" si="9"/>
        <v/>
      </c>
      <c r="I81" s="30"/>
    </row>
    <row r="82" ht="18.75" customHeight="1">
      <c r="A82" s="31"/>
      <c r="B82" s="31"/>
      <c r="C82" s="31"/>
      <c r="D82" s="31"/>
      <c r="E82" s="31"/>
      <c r="F82" s="31"/>
      <c r="G82" s="31"/>
      <c r="H82" s="23" t="str">
        <f t="shared" si="9"/>
        <v/>
      </c>
      <c r="I82" s="31"/>
    </row>
    <row r="83" ht="18.75" customHeight="1">
      <c r="A83" s="30"/>
      <c r="B83" s="30"/>
      <c r="C83" s="30"/>
      <c r="D83" s="30"/>
      <c r="E83" s="30"/>
      <c r="F83" s="30"/>
      <c r="G83" s="30"/>
      <c r="H83" s="27" t="str">
        <f t="shared" si="9"/>
        <v/>
      </c>
      <c r="I83" s="30"/>
    </row>
    <row r="84" ht="18.75" customHeight="1">
      <c r="A84" s="31"/>
      <c r="B84" s="31"/>
      <c r="C84" s="31"/>
      <c r="D84" s="31"/>
      <c r="E84" s="31"/>
      <c r="F84" s="31"/>
      <c r="G84" s="31"/>
      <c r="H84" s="23" t="str">
        <f t="shared" si="9"/>
        <v/>
      </c>
      <c r="I84" s="31"/>
    </row>
    <row r="85" ht="18.75" customHeight="1">
      <c r="A85" s="30"/>
      <c r="B85" s="30"/>
      <c r="C85" s="30"/>
      <c r="D85" s="30"/>
      <c r="E85" s="30"/>
      <c r="F85" s="30"/>
      <c r="G85" s="30"/>
      <c r="H85" s="27" t="str">
        <f t="shared" si="9"/>
        <v/>
      </c>
      <c r="I85" s="30"/>
    </row>
    <row r="86" ht="18.75" customHeight="1">
      <c r="A86" s="31"/>
      <c r="B86" s="31"/>
      <c r="C86" s="31"/>
      <c r="D86" s="31"/>
      <c r="E86" s="31"/>
      <c r="F86" s="31"/>
      <c r="G86" s="31"/>
      <c r="H86" s="23"/>
      <c r="I86" s="31"/>
    </row>
    <row r="87" ht="18.75" customHeight="1">
      <c r="A87" s="30"/>
      <c r="B87" s="30"/>
      <c r="C87" s="30"/>
      <c r="D87" s="30"/>
      <c r="E87" s="30"/>
      <c r="F87" s="30"/>
      <c r="G87" s="30"/>
      <c r="H87" s="27" t="str">
        <f t="shared" ref="H87:H93" si="10">IF(AND(F87="", G87=""), "", SUM($F$12:F87)-SUM($G$12:G87))</f>
        <v/>
      </c>
      <c r="I87" s="30"/>
    </row>
    <row r="88" ht="18.75" customHeight="1">
      <c r="A88" s="31"/>
      <c r="B88" s="31"/>
      <c r="C88" s="31"/>
      <c r="D88" s="31"/>
      <c r="E88" s="31"/>
      <c r="F88" s="31"/>
      <c r="G88" s="31"/>
      <c r="H88" s="23" t="str">
        <f t="shared" si="10"/>
        <v/>
      </c>
      <c r="I88" s="31"/>
    </row>
    <row r="89" ht="18.75" customHeight="1">
      <c r="A89" s="30"/>
      <c r="B89" s="30"/>
      <c r="C89" s="30"/>
      <c r="D89" s="30"/>
      <c r="E89" s="30"/>
      <c r="F89" s="30"/>
      <c r="G89" s="30"/>
      <c r="H89" s="27" t="str">
        <f t="shared" si="10"/>
        <v/>
      </c>
      <c r="I89" s="30"/>
    </row>
    <row r="90" ht="18.75" customHeight="1">
      <c r="A90" s="31"/>
      <c r="B90" s="31"/>
      <c r="C90" s="31"/>
      <c r="D90" s="31"/>
      <c r="E90" s="31"/>
      <c r="F90" s="31"/>
      <c r="G90" s="31"/>
      <c r="H90" s="23" t="str">
        <f t="shared" si="10"/>
        <v/>
      </c>
      <c r="I90" s="31"/>
    </row>
    <row r="91" ht="18.75" customHeight="1">
      <c r="A91" s="30"/>
      <c r="B91" s="30"/>
      <c r="C91" s="30"/>
      <c r="D91" s="30"/>
      <c r="E91" s="30"/>
      <c r="F91" s="30"/>
      <c r="G91" s="30"/>
      <c r="H91" s="27" t="str">
        <f t="shared" si="10"/>
        <v/>
      </c>
      <c r="I91" s="30"/>
    </row>
    <row r="92" ht="18.75" customHeight="1">
      <c r="A92" s="31"/>
      <c r="B92" s="31"/>
      <c r="C92" s="31"/>
      <c r="D92" s="31"/>
      <c r="E92" s="31"/>
      <c r="F92" s="31"/>
      <c r="G92" s="31"/>
      <c r="H92" s="23" t="str">
        <f t="shared" si="10"/>
        <v/>
      </c>
      <c r="I92" s="31"/>
    </row>
    <row r="93" ht="18.75" customHeight="1">
      <c r="A93" s="30"/>
      <c r="B93" s="30"/>
      <c r="C93" s="30"/>
      <c r="D93" s="30"/>
      <c r="E93" s="30"/>
      <c r="F93" s="30"/>
      <c r="G93" s="30"/>
      <c r="H93" s="27" t="str">
        <f t="shared" si="10"/>
        <v/>
      </c>
      <c r="I93" s="30"/>
    </row>
    <row r="94" ht="18.75" customHeight="1">
      <c r="A94" s="31"/>
      <c r="B94" s="31"/>
      <c r="C94" s="31"/>
      <c r="D94" s="31"/>
      <c r="E94" s="31"/>
      <c r="F94" s="31"/>
      <c r="G94" s="31"/>
      <c r="H94" s="23"/>
      <c r="I94" s="31"/>
    </row>
    <row r="95" ht="18.75" customHeight="1">
      <c r="A95" s="30"/>
      <c r="B95" s="30"/>
      <c r="C95" s="30"/>
      <c r="D95" s="30"/>
      <c r="E95" s="30"/>
      <c r="F95" s="30"/>
      <c r="G95" s="30"/>
      <c r="H95" s="27" t="str">
        <f t="shared" ref="H95:H101" si="11">IF(AND(F95="", G95=""), "", SUM($F$12:F95)-SUM($G$12:G95))</f>
        <v/>
      </c>
      <c r="I95" s="30"/>
    </row>
    <row r="96" ht="18.75" customHeight="1">
      <c r="A96" s="31"/>
      <c r="B96" s="31"/>
      <c r="C96" s="31"/>
      <c r="D96" s="31"/>
      <c r="E96" s="31"/>
      <c r="F96" s="31"/>
      <c r="G96" s="31"/>
      <c r="H96" s="23" t="str">
        <f t="shared" si="11"/>
        <v/>
      </c>
      <c r="I96" s="31"/>
    </row>
    <row r="97" ht="18.75" customHeight="1">
      <c r="A97" s="30"/>
      <c r="B97" s="30"/>
      <c r="C97" s="30"/>
      <c r="D97" s="30"/>
      <c r="E97" s="30"/>
      <c r="F97" s="30"/>
      <c r="G97" s="30"/>
      <c r="H97" s="27" t="str">
        <f t="shared" si="11"/>
        <v/>
      </c>
      <c r="I97" s="30"/>
    </row>
    <row r="98" ht="18.75" customHeight="1">
      <c r="A98" s="31"/>
      <c r="B98" s="31"/>
      <c r="C98" s="31"/>
      <c r="D98" s="31"/>
      <c r="E98" s="31"/>
      <c r="F98" s="31"/>
      <c r="G98" s="31"/>
      <c r="H98" s="23" t="str">
        <f t="shared" si="11"/>
        <v/>
      </c>
      <c r="I98" s="31"/>
    </row>
    <row r="99" ht="18.75" customHeight="1">
      <c r="A99" s="30"/>
      <c r="B99" s="30"/>
      <c r="C99" s="30"/>
      <c r="D99" s="30"/>
      <c r="E99" s="30"/>
      <c r="F99" s="30"/>
      <c r="G99" s="30"/>
      <c r="H99" s="27" t="str">
        <f t="shared" si="11"/>
        <v/>
      </c>
      <c r="I99" s="30"/>
    </row>
    <row r="100" ht="18.75" customHeight="1">
      <c r="A100" s="31"/>
      <c r="B100" s="31"/>
      <c r="C100" s="31"/>
      <c r="D100" s="31"/>
      <c r="E100" s="31"/>
      <c r="F100" s="31"/>
      <c r="G100" s="31"/>
      <c r="H100" s="23" t="str">
        <f t="shared" si="11"/>
        <v/>
      </c>
      <c r="I100" s="31"/>
    </row>
    <row r="101" ht="18.75" customHeight="1">
      <c r="A101" s="30"/>
      <c r="B101" s="30"/>
      <c r="C101" s="30"/>
      <c r="D101" s="30"/>
      <c r="E101" s="30"/>
      <c r="F101" s="30"/>
      <c r="G101" s="30"/>
      <c r="H101" s="27" t="str">
        <f t="shared" si="11"/>
        <v/>
      </c>
      <c r="I101" s="30"/>
    </row>
    <row r="102" ht="18.75" customHeight="1">
      <c r="A102" s="31"/>
      <c r="B102" s="31"/>
      <c r="C102" s="31"/>
      <c r="D102" s="31"/>
      <c r="E102" s="31"/>
      <c r="F102" s="31"/>
      <c r="G102" s="31"/>
      <c r="H102" s="23"/>
      <c r="I102" s="31"/>
    </row>
    <row r="103" ht="18.75" customHeight="1">
      <c r="A103" s="30"/>
      <c r="B103" s="30"/>
      <c r="C103" s="30"/>
      <c r="D103" s="30"/>
      <c r="E103" s="30"/>
      <c r="F103" s="30"/>
      <c r="G103" s="30"/>
      <c r="H103" s="27" t="str">
        <f t="shared" ref="H103:H109" si="12">IF(AND(F103="", G103=""), "", SUM($F$12:F103)-SUM($G$12:G103))</f>
        <v/>
      </c>
      <c r="I103" s="30"/>
    </row>
    <row r="104" ht="18.75" customHeight="1">
      <c r="A104" s="31"/>
      <c r="B104" s="31"/>
      <c r="C104" s="31"/>
      <c r="D104" s="31"/>
      <c r="E104" s="31"/>
      <c r="F104" s="31"/>
      <c r="G104" s="31"/>
      <c r="H104" s="23" t="str">
        <f t="shared" si="12"/>
        <v/>
      </c>
      <c r="I104" s="31"/>
    </row>
    <row r="105" ht="18.75" customHeight="1">
      <c r="A105" s="30"/>
      <c r="B105" s="30"/>
      <c r="C105" s="30"/>
      <c r="D105" s="30"/>
      <c r="E105" s="30"/>
      <c r="F105" s="30"/>
      <c r="G105" s="30"/>
      <c r="H105" s="27" t="str">
        <f t="shared" si="12"/>
        <v/>
      </c>
      <c r="I105" s="30"/>
    </row>
    <row r="106" ht="18.75" customHeight="1">
      <c r="A106" s="31"/>
      <c r="B106" s="31"/>
      <c r="C106" s="31"/>
      <c r="D106" s="31"/>
      <c r="E106" s="31"/>
      <c r="F106" s="31"/>
      <c r="G106" s="31"/>
      <c r="H106" s="23" t="str">
        <f t="shared" si="12"/>
        <v/>
      </c>
      <c r="I106" s="31"/>
    </row>
    <row r="107" ht="18.75" customHeight="1">
      <c r="A107" s="30"/>
      <c r="B107" s="30"/>
      <c r="C107" s="30"/>
      <c r="D107" s="30"/>
      <c r="E107" s="30"/>
      <c r="F107" s="30"/>
      <c r="G107" s="30"/>
      <c r="H107" s="27" t="str">
        <f t="shared" si="12"/>
        <v/>
      </c>
      <c r="I107" s="30"/>
    </row>
    <row r="108" ht="18.75" customHeight="1">
      <c r="A108" s="31"/>
      <c r="B108" s="31"/>
      <c r="C108" s="31"/>
      <c r="D108" s="31"/>
      <c r="E108" s="31"/>
      <c r="F108" s="31"/>
      <c r="G108" s="31"/>
      <c r="H108" s="23" t="str">
        <f t="shared" si="12"/>
        <v/>
      </c>
      <c r="I108" s="31"/>
    </row>
    <row r="109" ht="18.75" customHeight="1">
      <c r="A109" s="30"/>
      <c r="B109" s="30"/>
      <c r="C109" s="30"/>
      <c r="D109" s="30"/>
      <c r="E109" s="30"/>
      <c r="F109" s="30"/>
      <c r="G109" s="30"/>
      <c r="H109" s="27" t="str">
        <f t="shared" si="12"/>
        <v/>
      </c>
      <c r="I109" s="30"/>
    </row>
    <row r="110" ht="18.75" customHeight="1">
      <c r="A110" s="31"/>
      <c r="B110" s="31"/>
      <c r="C110" s="31"/>
      <c r="D110" s="31"/>
      <c r="E110" s="31"/>
      <c r="F110" s="31"/>
      <c r="G110" s="31"/>
      <c r="H110" s="23"/>
      <c r="I110" s="31"/>
    </row>
    <row r="111" ht="18.75" customHeight="1">
      <c r="A111" s="30"/>
      <c r="B111" s="30"/>
      <c r="C111" s="30"/>
      <c r="D111" s="30"/>
      <c r="E111" s="30"/>
      <c r="F111" s="30"/>
      <c r="G111" s="30"/>
      <c r="H111" s="27" t="str">
        <f t="shared" ref="H111:H117" si="13">IF(AND(F111="", G111=""), "", SUM($F$12:F111)-SUM($G$12:G111))</f>
        <v/>
      </c>
      <c r="I111" s="30"/>
    </row>
    <row r="112" ht="18.75" customHeight="1">
      <c r="A112" s="31"/>
      <c r="B112" s="31"/>
      <c r="C112" s="31"/>
      <c r="D112" s="31"/>
      <c r="E112" s="31"/>
      <c r="F112" s="31"/>
      <c r="G112" s="31"/>
      <c r="H112" s="23" t="str">
        <f t="shared" si="13"/>
        <v/>
      </c>
      <c r="I112" s="31"/>
    </row>
    <row r="113" ht="18.75" customHeight="1">
      <c r="A113" s="30"/>
      <c r="B113" s="30"/>
      <c r="C113" s="30"/>
      <c r="D113" s="30"/>
      <c r="E113" s="30"/>
      <c r="F113" s="30"/>
      <c r="G113" s="30"/>
      <c r="H113" s="27" t="str">
        <f t="shared" si="13"/>
        <v/>
      </c>
      <c r="I113" s="30"/>
    </row>
    <row r="114" ht="18.75" customHeight="1">
      <c r="A114" s="31"/>
      <c r="B114" s="31"/>
      <c r="C114" s="31"/>
      <c r="D114" s="31"/>
      <c r="E114" s="31"/>
      <c r="F114" s="31"/>
      <c r="G114" s="31"/>
      <c r="H114" s="23" t="str">
        <f t="shared" si="13"/>
        <v/>
      </c>
      <c r="I114" s="31"/>
    </row>
    <row r="115" ht="18.75" customHeight="1">
      <c r="A115" s="30"/>
      <c r="B115" s="30"/>
      <c r="C115" s="30"/>
      <c r="D115" s="30"/>
      <c r="E115" s="30"/>
      <c r="F115" s="30"/>
      <c r="G115" s="30"/>
      <c r="H115" s="27" t="str">
        <f t="shared" si="13"/>
        <v/>
      </c>
      <c r="I115" s="30"/>
    </row>
    <row r="116" ht="18.75" customHeight="1">
      <c r="A116" s="31"/>
      <c r="B116" s="31"/>
      <c r="C116" s="31"/>
      <c r="D116" s="31"/>
      <c r="E116" s="31"/>
      <c r="F116" s="31"/>
      <c r="G116" s="31"/>
      <c r="H116" s="23" t="str">
        <f t="shared" si="13"/>
        <v/>
      </c>
      <c r="I116" s="31"/>
    </row>
    <row r="117" ht="18.75" customHeight="1">
      <c r="A117" s="30"/>
      <c r="B117" s="30"/>
      <c r="C117" s="30"/>
      <c r="D117" s="30"/>
      <c r="E117" s="30"/>
      <c r="F117" s="30"/>
      <c r="G117" s="30"/>
      <c r="H117" s="27" t="str">
        <f t="shared" si="13"/>
        <v/>
      </c>
      <c r="I117" s="30"/>
    </row>
    <row r="118" ht="18.75" customHeight="1">
      <c r="A118" s="31"/>
      <c r="B118" s="31"/>
      <c r="C118" s="31"/>
      <c r="D118" s="31"/>
      <c r="E118" s="31"/>
      <c r="F118" s="31"/>
      <c r="G118" s="31"/>
      <c r="H118" s="23"/>
      <c r="I118" s="31"/>
    </row>
    <row r="119" ht="18.75" customHeight="1">
      <c r="A119" s="30"/>
      <c r="B119" s="30"/>
      <c r="C119" s="30"/>
      <c r="D119" s="30"/>
      <c r="E119" s="30"/>
      <c r="F119" s="30"/>
      <c r="G119" s="30"/>
      <c r="H119" s="27" t="str">
        <f t="shared" ref="H119:H125" si="14">IF(AND(F119="", G119=""), "", SUM($F$12:F119)-SUM($G$12:G119))</f>
        <v/>
      </c>
      <c r="I119" s="30"/>
    </row>
    <row r="120" ht="18.75" customHeight="1">
      <c r="A120" s="31"/>
      <c r="B120" s="31"/>
      <c r="C120" s="31"/>
      <c r="D120" s="31"/>
      <c r="E120" s="31"/>
      <c r="F120" s="31"/>
      <c r="G120" s="31"/>
      <c r="H120" s="23" t="str">
        <f t="shared" si="14"/>
        <v/>
      </c>
      <c r="I120" s="31"/>
    </row>
    <row r="121" ht="18.75" customHeight="1">
      <c r="A121" s="30"/>
      <c r="B121" s="30"/>
      <c r="C121" s="30"/>
      <c r="D121" s="30"/>
      <c r="E121" s="30"/>
      <c r="F121" s="30"/>
      <c r="G121" s="30"/>
      <c r="H121" s="27" t="str">
        <f t="shared" si="14"/>
        <v/>
      </c>
      <c r="I121" s="30"/>
    </row>
    <row r="122" ht="18.75" customHeight="1">
      <c r="A122" s="31"/>
      <c r="B122" s="31"/>
      <c r="C122" s="31"/>
      <c r="D122" s="31"/>
      <c r="E122" s="31"/>
      <c r="F122" s="31"/>
      <c r="G122" s="31"/>
      <c r="H122" s="23" t="str">
        <f t="shared" si="14"/>
        <v/>
      </c>
      <c r="I122" s="31"/>
    </row>
    <row r="123" ht="18.75" customHeight="1">
      <c r="A123" s="30"/>
      <c r="B123" s="30"/>
      <c r="C123" s="30"/>
      <c r="D123" s="30"/>
      <c r="E123" s="30"/>
      <c r="F123" s="30"/>
      <c r="G123" s="30"/>
      <c r="H123" s="27" t="str">
        <f t="shared" si="14"/>
        <v/>
      </c>
      <c r="I123" s="30"/>
    </row>
    <row r="124" ht="18.75" customHeight="1">
      <c r="A124" s="31"/>
      <c r="B124" s="31"/>
      <c r="C124" s="31"/>
      <c r="D124" s="31"/>
      <c r="E124" s="31"/>
      <c r="F124" s="31"/>
      <c r="G124" s="31"/>
      <c r="H124" s="23" t="str">
        <f t="shared" si="14"/>
        <v/>
      </c>
      <c r="I124" s="31"/>
    </row>
    <row r="125" ht="18.75" customHeight="1">
      <c r="A125" s="30"/>
      <c r="B125" s="30"/>
      <c r="C125" s="30"/>
      <c r="D125" s="30"/>
      <c r="E125" s="30"/>
      <c r="F125" s="30"/>
      <c r="G125" s="30"/>
      <c r="H125" s="27" t="str">
        <f t="shared" si="14"/>
        <v/>
      </c>
      <c r="I125" s="30"/>
    </row>
    <row r="126" ht="18.75" customHeight="1">
      <c r="A126" s="31"/>
      <c r="B126" s="31"/>
      <c r="C126" s="31"/>
      <c r="D126" s="31"/>
      <c r="E126" s="31"/>
      <c r="F126" s="31"/>
      <c r="G126" s="31"/>
      <c r="H126" s="23"/>
      <c r="I126" s="31"/>
    </row>
    <row r="127" ht="18.75" customHeight="1">
      <c r="A127" s="30"/>
      <c r="B127" s="30"/>
      <c r="C127" s="30"/>
      <c r="D127" s="30"/>
      <c r="E127" s="30"/>
      <c r="F127" s="30"/>
      <c r="G127" s="30"/>
      <c r="H127" s="27" t="str">
        <f t="shared" ref="H127:H133" si="15">IF(AND(F127="", G127=""), "", SUM($F$12:F127)-SUM($G$12:G127))</f>
        <v/>
      </c>
      <c r="I127" s="30"/>
    </row>
    <row r="128" ht="18.75" customHeight="1">
      <c r="A128" s="31"/>
      <c r="B128" s="31"/>
      <c r="C128" s="31"/>
      <c r="D128" s="31"/>
      <c r="E128" s="31"/>
      <c r="F128" s="31"/>
      <c r="G128" s="31"/>
      <c r="H128" s="23" t="str">
        <f t="shared" si="15"/>
        <v/>
      </c>
      <c r="I128" s="31"/>
    </row>
    <row r="129" ht="18.75" customHeight="1">
      <c r="A129" s="30"/>
      <c r="B129" s="30"/>
      <c r="C129" s="30"/>
      <c r="D129" s="30"/>
      <c r="E129" s="30"/>
      <c r="F129" s="30"/>
      <c r="G129" s="30"/>
      <c r="H129" s="27" t="str">
        <f t="shared" si="15"/>
        <v/>
      </c>
      <c r="I129" s="30"/>
    </row>
    <row r="130" ht="18.75" customHeight="1">
      <c r="A130" s="31"/>
      <c r="B130" s="31"/>
      <c r="C130" s="31"/>
      <c r="D130" s="31"/>
      <c r="E130" s="31"/>
      <c r="F130" s="31"/>
      <c r="G130" s="31"/>
      <c r="H130" s="23" t="str">
        <f t="shared" si="15"/>
        <v/>
      </c>
      <c r="I130" s="31"/>
    </row>
    <row r="131" ht="18.75" customHeight="1">
      <c r="A131" s="30"/>
      <c r="B131" s="30"/>
      <c r="C131" s="30"/>
      <c r="D131" s="30"/>
      <c r="E131" s="30"/>
      <c r="F131" s="30"/>
      <c r="G131" s="30"/>
      <c r="H131" s="27" t="str">
        <f t="shared" si="15"/>
        <v/>
      </c>
      <c r="I131" s="30"/>
    </row>
    <row r="132" ht="18.75" customHeight="1">
      <c r="A132" s="31"/>
      <c r="B132" s="31"/>
      <c r="C132" s="31"/>
      <c r="D132" s="31"/>
      <c r="E132" s="31"/>
      <c r="F132" s="31"/>
      <c r="G132" s="31"/>
      <c r="H132" s="23" t="str">
        <f t="shared" si="15"/>
        <v/>
      </c>
      <c r="I132" s="31"/>
    </row>
    <row r="133" ht="18.75" customHeight="1">
      <c r="A133" s="30"/>
      <c r="B133" s="30"/>
      <c r="C133" s="30"/>
      <c r="D133" s="30"/>
      <c r="E133" s="30"/>
      <c r="F133" s="30"/>
      <c r="G133" s="30"/>
      <c r="H133" s="27" t="str">
        <f t="shared" si="15"/>
        <v/>
      </c>
      <c r="I133" s="30"/>
    </row>
    <row r="134" ht="18.75" customHeight="1">
      <c r="A134" s="31"/>
      <c r="B134" s="31"/>
      <c r="C134" s="31"/>
      <c r="D134" s="31"/>
      <c r="E134" s="31"/>
      <c r="F134" s="31"/>
      <c r="G134" s="31"/>
      <c r="H134" s="23"/>
      <c r="I134" s="31"/>
    </row>
    <row r="135" ht="18.75" customHeight="1">
      <c r="A135" s="30"/>
      <c r="B135" s="30"/>
      <c r="C135" s="30"/>
      <c r="D135" s="30"/>
      <c r="E135" s="30"/>
      <c r="F135" s="30"/>
      <c r="G135" s="30"/>
      <c r="H135" s="27" t="str">
        <f t="shared" ref="H135:H141" si="16">IF(AND(F135="", G135=""), "", SUM($F$12:F135)-SUM($G$12:G135))</f>
        <v/>
      </c>
      <c r="I135" s="30"/>
    </row>
    <row r="136" ht="18.75" customHeight="1">
      <c r="A136" s="31"/>
      <c r="B136" s="31"/>
      <c r="C136" s="31"/>
      <c r="D136" s="31"/>
      <c r="E136" s="31"/>
      <c r="F136" s="31"/>
      <c r="G136" s="31"/>
      <c r="H136" s="23" t="str">
        <f t="shared" si="16"/>
        <v/>
      </c>
      <c r="I136" s="31"/>
    </row>
    <row r="137" ht="18.75" customHeight="1">
      <c r="A137" s="30"/>
      <c r="B137" s="30"/>
      <c r="C137" s="30"/>
      <c r="D137" s="30"/>
      <c r="E137" s="30"/>
      <c r="F137" s="30"/>
      <c r="G137" s="30"/>
      <c r="H137" s="27" t="str">
        <f t="shared" si="16"/>
        <v/>
      </c>
      <c r="I137" s="30"/>
    </row>
    <row r="138" ht="18.75" customHeight="1">
      <c r="A138" s="31"/>
      <c r="B138" s="31"/>
      <c r="C138" s="31"/>
      <c r="D138" s="31"/>
      <c r="E138" s="31"/>
      <c r="F138" s="31"/>
      <c r="G138" s="31"/>
      <c r="H138" s="23" t="str">
        <f t="shared" si="16"/>
        <v/>
      </c>
      <c r="I138" s="31"/>
    </row>
    <row r="139" ht="18.75" customHeight="1">
      <c r="A139" s="30"/>
      <c r="B139" s="30"/>
      <c r="C139" s="30"/>
      <c r="D139" s="30"/>
      <c r="E139" s="30"/>
      <c r="F139" s="30"/>
      <c r="G139" s="30"/>
      <c r="H139" s="27" t="str">
        <f t="shared" si="16"/>
        <v/>
      </c>
      <c r="I139" s="30"/>
    </row>
    <row r="140" ht="18.75" customHeight="1">
      <c r="A140" s="31"/>
      <c r="B140" s="31"/>
      <c r="C140" s="31"/>
      <c r="D140" s="31"/>
      <c r="E140" s="31"/>
      <c r="F140" s="31"/>
      <c r="G140" s="31"/>
      <c r="H140" s="23" t="str">
        <f t="shared" si="16"/>
        <v/>
      </c>
      <c r="I140" s="31"/>
    </row>
    <row r="141" ht="18.75" customHeight="1">
      <c r="A141" s="30"/>
      <c r="B141" s="30"/>
      <c r="C141" s="30"/>
      <c r="D141" s="30"/>
      <c r="E141" s="30"/>
      <c r="F141" s="30"/>
      <c r="G141" s="30"/>
      <c r="H141" s="27" t="str">
        <f t="shared" si="16"/>
        <v/>
      </c>
      <c r="I141" s="30"/>
    </row>
    <row r="142" ht="18.75" customHeight="1">
      <c r="A142" s="31"/>
      <c r="B142" s="31"/>
      <c r="C142" s="31"/>
      <c r="D142" s="31"/>
      <c r="E142" s="31"/>
      <c r="F142" s="31"/>
      <c r="G142" s="31"/>
      <c r="H142" s="23"/>
      <c r="I142" s="31"/>
    </row>
    <row r="143" ht="18.75" customHeight="1">
      <c r="A143" s="30"/>
      <c r="B143" s="30"/>
      <c r="C143" s="30"/>
      <c r="D143" s="30"/>
      <c r="E143" s="30"/>
      <c r="F143" s="30"/>
      <c r="G143" s="30"/>
      <c r="H143" s="27" t="str">
        <f t="shared" ref="H143:H149" si="17">IF(AND(F143="", G143=""), "", SUM($F$12:F143)-SUM($G$12:G143))</f>
        <v/>
      </c>
      <c r="I143" s="30"/>
    </row>
    <row r="144" ht="18.75" customHeight="1">
      <c r="A144" s="31"/>
      <c r="B144" s="31"/>
      <c r="C144" s="31"/>
      <c r="D144" s="31"/>
      <c r="E144" s="31"/>
      <c r="F144" s="31"/>
      <c r="G144" s="31"/>
      <c r="H144" s="23" t="str">
        <f t="shared" si="17"/>
        <v/>
      </c>
      <c r="I144" s="31"/>
    </row>
    <row r="145" ht="18.75" customHeight="1">
      <c r="A145" s="30"/>
      <c r="B145" s="30"/>
      <c r="C145" s="30"/>
      <c r="D145" s="30"/>
      <c r="E145" s="30"/>
      <c r="F145" s="30"/>
      <c r="G145" s="30"/>
      <c r="H145" s="27" t="str">
        <f t="shared" si="17"/>
        <v/>
      </c>
      <c r="I145" s="30"/>
    </row>
    <row r="146" ht="18.75" customHeight="1">
      <c r="A146" s="31"/>
      <c r="B146" s="31"/>
      <c r="C146" s="31"/>
      <c r="D146" s="31"/>
      <c r="E146" s="31"/>
      <c r="F146" s="31"/>
      <c r="G146" s="31"/>
      <c r="H146" s="23" t="str">
        <f t="shared" si="17"/>
        <v/>
      </c>
      <c r="I146" s="31"/>
    </row>
    <row r="147" ht="18.75" customHeight="1">
      <c r="A147" s="30"/>
      <c r="B147" s="30"/>
      <c r="C147" s="30"/>
      <c r="D147" s="30"/>
      <c r="E147" s="30"/>
      <c r="F147" s="30"/>
      <c r="G147" s="30"/>
      <c r="H147" s="27" t="str">
        <f t="shared" si="17"/>
        <v/>
      </c>
      <c r="I147" s="30"/>
    </row>
    <row r="148" ht="18.75" customHeight="1">
      <c r="A148" s="31"/>
      <c r="B148" s="31"/>
      <c r="C148" s="31"/>
      <c r="D148" s="31"/>
      <c r="E148" s="31"/>
      <c r="F148" s="31"/>
      <c r="G148" s="31"/>
      <c r="H148" s="23" t="str">
        <f t="shared" si="17"/>
        <v/>
      </c>
      <c r="I148" s="31"/>
    </row>
    <row r="149" ht="18.75" customHeight="1">
      <c r="A149" s="30"/>
      <c r="B149" s="30"/>
      <c r="C149" s="30"/>
      <c r="D149" s="30"/>
      <c r="E149" s="30"/>
      <c r="F149" s="30"/>
      <c r="G149" s="30"/>
      <c r="H149" s="27" t="str">
        <f t="shared" si="17"/>
        <v/>
      </c>
      <c r="I149" s="30"/>
    </row>
    <row r="150" ht="18.75" customHeight="1">
      <c r="A150" s="31"/>
      <c r="B150" s="31"/>
      <c r="C150" s="31"/>
      <c r="D150" s="31"/>
      <c r="E150" s="31"/>
      <c r="F150" s="31"/>
      <c r="G150" s="31"/>
      <c r="H150" s="23"/>
      <c r="I150" s="31"/>
    </row>
    <row r="151" ht="18.75" customHeight="1">
      <c r="A151" s="30"/>
      <c r="B151" s="30"/>
      <c r="C151" s="30"/>
      <c r="D151" s="30"/>
      <c r="E151" s="30"/>
      <c r="F151" s="30"/>
      <c r="G151" s="30"/>
      <c r="H151" s="27" t="str">
        <f t="shared" ref="H151:H157" si="18">IF(AND(F151="", G151=""), "", SUM($F$12:F151)-SUM($G$12:G151))</f>
        <v/>
      </c>
      <c r="I151" s="30"/>
    </row>
    <row r="152" ht="18.75" customHeight="1">
      <c r="A152" s="31"/>
      <c r="B152" s="31"/>
      <c r="C152" s="31"/>
      <c r="D152" s="31"/>
      <c r="E152" s="31"/>
      <c r="F152" s="31"/>
      <c r="G152" s="31"/>
      <c r="H152" s="23" t="str">
        <f t="shared" si="18"/>
        <v/>
      </c>
      <c r="I152" s="31"/>
    </row>
    <row r="153" ht="18.75" customHeight="1">
      <c r="A153" s="30"/>
      <c r="B153" s="30"/>
      <c r="C153" s="30"/>
      <c r="D153" s="30"/>
      <c r="E153" s="30"/>
      <c r="F153" s="30"/>
      <c r="G153" s="30"/>
      <c r="H153" s="27" t="str">
        <f t="shared" si="18"/>
        <v/>
      </c>
      <c r="I153" s="30"/>
    </row>
    <row r="154" ht="18.75" customHeight="1">
      <c r="A154" s="31"/>
      <c r="B154" s="31"/>
      <c r="C154" s="31"/>
      <c r="D154" s="31"/>
      <c r="E154" s="31"/>
      <c r="F154" s="31"/>
      <c r="G154" s="31"/>
      <c r="H154" s="23" t="str">
        <f t="shared" si="18"/>
        <v/>
      </c>
      <c r="I154" s="31"/>
    </row>
    <row r="155" ht="18.75" customHeight="1">
      <c r="A155" s="30"/>
      <c r="B155" s="30"/>
      <c r="C155" s="30"/>
      <c r="D155" s="30"/>
      <c r="E155" s="30"/>
      <c r="F155" s="30"/>
      <c r="G155" s="30"/>
      <c r="H155" s="27" t="str">
        <f t="shared" si="18"/>
        <v/>
      </c>
      <c r="I155" s="30"/>
    </row>
    <row r="156" ht="18.75" customHeight="1">
      <c r="A156" s="31"/>
      <c r="B156" s="31"/>
      <c r="C156" s="31"/>
      <c r="D156" s="31"/>
      <c r="E156" s="31"/>
      <c r="F156" s="31"/>
      <c r="G156" s="31"/>
      <c r="H156" s="23" t="str">
        <f t="shared" si="18"/>
        <v/>
      </c>
      <c r="I156" s="31"/>
    </row>
    <row r="157" ht="18.75" customHeight="1">
      <c r="A157" s="30"/>
      <c r="B157" s="30"/>
      <c r="C157" s="30"/>
      <c r="D157" s="30"/>
      <c r="E157" s="30"/>
      <c r="F157" s="30"/>
      <c r="G157" s="30"/>
      <c r="H157" s="27" t="str">
        <f t="shared" si="18"/>
        <v/>
      </c>
      <c r="I157" s="30"/>
    </row>
    <row r="158" ht="18.75" customHeight="1">
      <c r="A158" s="31"/>
      <c r="B158" s="31"/>
      <c r="C158" s="31"/>
      <c r="D158" s="31"/>
      <c r="E158" s="31"/>
      <c r="F158" s="31"/>
      <c r="G158" s="31"/>
      <c r="H158" s="23"/>
      <c r="I158" s="31"/>
    </row>
    <row r="159" ht="18.75" customHeight="1">
      <c r="A159" s="30"/>
      <c r="B159" s="30"/>
      <c r="C159" s="30"/>
      <c r="D159" s="30"/>
      <c r="E159" s="30"/>
      <c r="F159" s="30"/>
      <c r="G159" s="30"/>
      <c r="H159" s="27" t="str">
        <f t="shared" ref="H159:H165" si="19">IF(AND(F159="", G159=""), "", SUM($F$12:F159)-SUM($G$12:G159))</f>
        <v/>
      </c>
      <c r="I159" s="30"/>
    </row>
    <row r="160" ht="18.75" customHeight="1">
      <c r="A160" s="31"/>
      <c r="B160" s="31"/>
      <c r="C160" s="31"/>
      <c r="D160" s="31"/>
      <c r="E160" s="31"/>
      <c r="F160" s="31"/>
      <c r="G160" s="31"/>
      <c r="H160" s="23" t="str">
        <f t="shared" si="19"/>
        <v/>
      </c>
      <c r="I160" s="31"/>
    </row>
    <row r="161" ht="18.75" customHeight="1">
      <c r="A161" s="30"/>
      <c r="B161" s="30"/>
      <c r="C161" s="30"/>
      <c r="D161" s="30"/>
      <c r="E161" s="30"/>
      <c r="F161" s="30"/>
      <c r="G161" s="30"/>
      <c r="H161" s="27" t="str">
        <f t="shared" si="19"/>
        <v/>
      </c>
      <c r="I161" s="30"/>
    </row>
    <row r="162" ht="18.75" customHeight="1">
      <c r="A162" s="31"/>
      <c r="B162" s="31"/>
      <c r="C162" s="31"/>
      <c r="D162" s="31"/>
      <c r="E162" s="31"/>
      <c r="F162" s="31"/>
      <c r="G162" s="31"/>
      <c r="H162" s="23" t="str">
        <f t="shared" si="19"/>
        <v/>
      </c>
      <c r="I162" s="31"/>
    </row>
    <row r="163" ht="18.75" customHeight="1">
      <c r="A163" s="30"/>
      <c r="B163" s="30"/>
      <c r="C163" s="30"/>
      <c r="D163" s="30"/>
      <c r="E163" s="30"/>
      <c r="F163" s="30"/>
      <c r="G163" s="30"/>
      <c r="H163" s="27" t="str">
        <f t="shared" si="19"/>
        <v/>
      </c>
      <c r="I163" s="30"/>
    </row>
    <row r="164" ht="18.75" customHeight="1">
      <c r="A164" s="31"/>
      <c r="B164" s="31"/>
      <c r="C164" s="31"/>
      <c r="D164" s="31"/>
      <c r="E164" s="31"/>
      <c r="F164" s="31"/>
      <c r="G164" s="31"/>
      <c r="H164" s="23" t="str">
        <f t="shared" si="19"/>
        <v/>
      </c>
      <c r="I164" s="31"/>
    </row>
    <row r="165" ht="18.75" customHeight="1">
      <c r="A165" s="30"/>
      <c r="B165" s="30"/>
      <c r="C165" s="30"/>
      <c r="D165" s="30"/>
      <c r="E165" s="30"/>
      <c r="F165" s="30"/>
      <c r="G165" s="30"/>
      <c r="H165" s="27" t="str">
        <f t="shared" si="19"/>
        <v/>
      </c>
      <c r="I165" s="30"/>
    </row>
    <row r="166" ht="18.75" customHeight="1">
      <c r="A166" s="31"/>
      <c r="B166" s="31"/>
      <c r="C166" s="31"/>
      <c r="D166" s="31"/>
      <c r="E166" s="31"/>
      <c r="F166" s="31"/>
      <c r="G166" s="31"/>
      <c r="H166" s="23"/>
      <c r="I166" s="31"/>
    </row>
    <row r="167" ht="18.75" customHeight="1">
      <c r="A167" s="30"/>
      <c r="B167" s="30"/>
      <c r="C167" s="30"/>
      <c r="D167" s="30"/>
      <c r="E167" s="30"/>
      <c r="F167" s="30"/>
      <c r="G167" s="30"/>
      <c r="H167" s="27" t="str">
        <f t="shared" ref="H167:H173" si="20">IF(AND(F167="", G167=""), "", SUM($F$12:F167)-SUM($G$12:G167))</f>
        <v/>
      </c>
      <c r="I167" s="30"/>
    </row>
    <row r="168" ht="18.75" customHeight="1">
      <c r="A168" s="31"/>
      <c r="B168" s="31"/>
      <c r="C168" s="31"/>
      <c r="D168" s="31"/>
      <c r="E168" s="31"/>
      <c r="F168" s="31"/>
      <c r="G168" s="31"/>
      <c r="H168" s="23" t="str">
        <f t="shared" si="20"/>
        <v/>
      </c>
      <c r="I168" s="31"/>
    </row>
    <row r="169" ht="18.75" customHeight="1">
      <c r="A169" s="30"/>
      <c r="B169" s="30"/>
      <c r="C169" s="30"/>
      <c r="D169" s="30"/>
      <c r="E169" s="30"/>
      <c r="F169" s="30"/>
      <c r="G169" s="30"/>
      <c r="H169" s="27" t="str">
        <f t="shared" si="20"/>
        <v/>
      </c>
      <c r="I169" s="30"/>
    </row>
    <row r="170" ht="18.75" customHeight="1">
      <c r="A170" s="31"/>
      <c r="B170" s="31"/>
      <c r="C170" s="31"/>
      <c r="D170" s="31"/>
      <c r="E170" s="31"/>
      <c r="F170" s="31"/>
      <c r="G170" s="31"/>
      <c r="H170" s="23" t="str">
        <f t="shared" si="20"/>
        <v/>
      </c>
      <c r="I170" s="31"/>
    </row>
    <row r="171" ht="18.75" customHeight="1">
      <c r="A171" s="30"/>
      <c r="B171" s="30"/>
      <c r="C171" s="30"/>
      <c r="D171" s="30"/>
      <c r="E171" s="30"/>
      <c r="F171" s="30"/>
      <c r="G171" s="30"/>
      <c r="H171" s="27" t="str">
        <f t="shared" si="20"/>
        <v/>
      </c>
      <c r="I171" s="30"/>
    </row>
    <row r="172" ht="18.75" customHeight="1">
      <c r="A172" s="31"/>
      <c r="B172" s="31"/>
      <c r="C172" s="31"/>
      <c r="D172" s="31"/>
      <c r="E172" s="31"/>
      <c r="F172" s="31"/>
      <c r="G172" s="31"/>
      <c r="H172" s="23" t="str">
        <f t="shared" si="20"/>
        <v/>
      </c>
      <c r="I172" s="31"/>
    </row>
    <row r="173" ht="18.75" customHeight="1">
      <c r="A173" s="30"/>
      <c r="B173" s="30"/>
      <c r="C173" s="30"/>
      <c r="D173" s="30"/>
      <c r="E173" s="30"/>
      <c r="F173" s="30"/>
      <c r="G173" s="30"/>
      <c r="H173" s="27" t="str">
        <f t="shared" si="20"/>
        <v/>
      </c>
      <c r="I173" s="30"/>
    </row>
    <row r="174" ht="18.75" customHeight="1">
      <c r="A174" s="31"/>
      <c r="B174" s="31"/>
      <c r="C174" s="31"/>
      <c r="D174" s="31"/>
      <c r="E174" s="31"/>
      <c r="F174" s="31"/>
      <c r="G174" s="31"/>
      <c r="H174" s="23"/>
      <c r="I174" s="31"/>
    </row>
    <row r="175" ht="18.75" customHeight="1">
      <c r="A175" s="30"/>
      <c r="B175" s="30"/>
      <c r="C175" s="30"/>
      <c r="D175" s="30"/>
      <c r="E175" s="30"/>
      <c r="F175" s="30"/>
      <c r="G175" s="30"/>
      <c r="H175" s="27" t="str">
        <f t="shared" ref="H175:H181" si="21">IF(AND(F175="", G175=""), "", SUM($F$12:F175)-SUM($G$12:G175))</f>
        <v/>
      </c>
      <c r="I175" s="30"/>
    </row>
    <row r="176" ht="18.75" customHeight="1">
      <c r="A176" s="31"/>
      <c r="B176" s="31"/>
      <c r="C176" s="31"/>
      <c r="D176" s="31"/>
      <c r="E176" s="31"/>
      <c r="F176" s="31"/>
      <c r="G176" s="31"/>
      <c r="H176" s="23" t="str">
        <f t="shared" si="21"/>
        <v/>
      </c>
      <c r="I176" s="31"/>
    </row>
    <row r="177" ht="18.75" customHeight="1">
      <c r="A177" s="30"/>
      <c r="B177" s="30"/>
      <c r="C177" s="30"/>
      <c r="D177" s="30"/>
      <c r="E177" s="30"/>
      <c r="F177" s="30"/>
      <c r="G177" s="30"/>
      <c r="H177" s="27" t="str">
        <f t="shared" si="21"/>
        <v/>
      </c>
      <c r="I177" s="30"/>
    </row>
    <row r="178" ht="18.75" customHeight="1">
      <c r="A178" s="31"/>
      <c r="B178" s="31"/>
      <c r="C178" s="31"/>
      <c r="D178" s="31"/>
      <c r="E178" s="31"/>
      <c r="F178" s="31"/>
      <c r="G178" s="31"/>
      <c r="H178" s="23" t="str">
        <f t="shared" si="21"/>
        <v/>
      </c>
      <c r="I178" s="31"/>
    </row>
    <row r="179" ht="18.75" customHeight="1">
      <c r="A179" s="30"/>
      <c r="B179" s="30"/>
      <c r="C179" s="30"/>
      <c r="D179" s="30"/>
      <c r="E179" s="30"/>
      <c r="F179" s="30"/>
      <c r="G179" s="30"/>
      <c r="H179" s="27" t="str">
        <f t="shared" si="21"/>
        <v/>
      </c>
      <c r="I179" s="30"/>
    </row>
    <row r="180" ht="18.75" customHeight="1">
      <c r="A180" s="31"/>
      <c r="B180" s="31"/>
      <c r="C180" s="31"/>
      <c r="D180" s="31"/>
      <c r="E180" s="31"/>
      <c r="F180" s="31"/>
      <c r="G180" s="31"/>
      <c r="H180" s="23" t="str">
        <f t="shared" si="21"/>
        <v/>
      </c>
      <c r="I180" s="31"/>
    </row>
    <row r="181" ht="18.75" customHeight="1">
      <c r="A181" s="30"/>
      <c r="B181" s="30"/>
      <c r="C181" s="30"/>
      <c r="D181" s="30"/>
      <c r="E181" s="30"/>
      <c r="F181" s="30"/>
      <c r="G181" s="30"/>
      <c r="H181" s="27" t="str">
        <f t="shared" si="21"/>
        <v/>
      </c>
      <c r="I181" s="30"/>
    </row>
    <row r="182" ht="18.75" customHeight="1">
      <c r="A182" s="31"/>
      <c r="B182" s="31"/>
      <c r="C182" s="31"/>
      <c r="D182" s="31"/>
      <c r="E182" s="31"/>
      <c r="F182" s="31"/>
      <c r="G182" s="31"/>
      <c r="H182" s="23"/>
      <c r="I182" s="31"/>
    </row>
    <row r="183" ht="18.75" customHeight="1">
      <c r="A183" s="30"/>
      <c r="B183" s="30"/>
      <c r="C183" s="30"/>
      <c r="D183" s="30"/>
      <c r="E183" s="30"/>
      <c r="F183" s="30"/>
      <c r="G183" s="30"/>
      <c r="H183" s="27" t="str">
        <f t="shared" ref="H183:H189" si="22">IF(AND(F183="", G183=""), "", SUM($F$12:F183)-SUM($G$12:G183))</f>
        <v/>
      </c>
      <c r="I183" s="30"/>
    </row>
    <row r="184" ht="18.75" customHeight="1">
      <c r="A184" s="31"/>
      <c r="B184" s="31"/>
      <c r="C184" s="31"/>
      <c r="D184" s="31"/>
      <c r="E184" s="31"/>
      <c r="F184" s="31"/>
      <c r="G184" s="31"/>
      <c r="H184" s="23" t="str">
        <f t="shared" si="22"/>
        <v/>
      </c>
      <c r="I184" s="31"/>
    </row>
    <row r="185" ht="18.75" customHeight="1">
      <c r="A185" s="30"/>
      <c r="B185" s="30"/>
      <c r="C185" s="30"/>
      <c r="D185" s="30"/>
      <c r="E185" s="30"/>
      <c r="F185" s="30"/>
      <c r="G185" s="30"/>
      <c r="H185" s="27" t="str">
        <f t="shared" si="22"/>
        <v/>
      </c>
      <c r="I185" s="30"/>
    </row>
    <row r="186" ht="18.75" customHeight="1">
      <c r="A186" s="31"/>
      <c r="B186" s="31"/>
      <c r="C186" s="31"/>
      <c r="D186" s="31"/>
      <c r="E186" s="31"/>
      <c r="F186" s="31"/>
      <c r="G186" s="31"/>
      <c r="H186" s="23" t="str">
        <f t="shared" si="22"/>
        <v/>
      </c>
      <c r="I186" s="31"/>
    </row>
    <row r="187" ht="18.75" customHeight="1">
      <c r="A187" s="30"/>
      <c r="B187" s="30"/>
      <c r="C187" s="30"/>
      <c r="D187" s="30"/>
      <c r="E187" s="30"/>
      <c r="F187" s="30"/>
      <c r="G187" s="30"/>
      <c r="H187" s="27" t="str">
        <f t="shared" si="22"/>
        <v/>
      </c>
      <c r="I187" s="30"/>
    </row>
    <row r="188" ht="18.75" customHeight="1">
      <c r="A188" s="31"/>
      <c r="B188" s="31"/>
      <c r="C188" s="31"/>
      <c r="D188" s="31"/>
      <c r="E188" s="31"/>
      <c r="F188" s="31"/>
      <c r="G188" s="31"/>
      <c r="H188" s="23" t="str">
        <f t="shared" si="22"/>
        <v/>
      </c>
      <c r="I188" s="31"/>
    </row>
    <row r="189" ht="18.75" customHeight="1">
      <c r="A189" s="30"/>
      <c r="B189" s="30"/>
      <c r="C189" s="30"/>
      <c r="D189" s="30"/>
      <c r="E189" s="30"/>
      <c r="F189" s="30"/>
      <c r="G189" s="30"/>
      <c r="H189" s="27" t="str">
        <f t="shared" si="22"/>
        <v/>
      </c>
      <c r="I189" s="30"/>
    </row>
    <row r="190" ht="18.75" customHeight="1">
      <c r="A190" s="31"/>
      <c r="B190" s="31"/>
      <c r="C190" s="31"/>
      <c r="D190" s="31"/>
      <c r="E190" s="31"/>
      <c r="F190" s="31"/>
      <c r="G190" s="31"/>
      <c r="H190" s="23"/>
      <c r="I190" s="31"/>
    </row>
    <row r="191" ht="18.75" customHeight="1">
      <c r="A191" s="30"/>
      <c r="B191" s="30"/>
      <c r="C191" s="30"/>
      <c r="D191" s="30"/>
      <c r="E191" s="30"/>
      <c r="F191" s="30"/>
      <c r="G191" s="30"/>
      <c r="H191" s="27" t="str">
        <f t="shared" ref="H191:H197" si="23">IF(AND(F191="", G191=""), "", SUM($F$12:F191)-SUM($G$12:G191))</f>
        <v/>
      </c>
      <c r="I191" s="30"/>
    </row>
    <row r="192" ht="18.75" customHeight="1">
      <c r="A192" s="31"/>
      <c r="B192" s="31"/>
      <c r="C192" s="31"/>
      <c r="D192" s="31"/>
      <c r="E192" s="31"/>
      <c r="F192" s="31"/>
      <c r="G192" s="31"/>
      <c r="H192" s="23" t="str">
        <f t="shared" si="23"/>
        <v/>
      </c>
      <c r="I192" s="31"/>
    </row>
    <row r="193" ht="18.75" customHeight="1">
      <c r="A193" s="30"/>
      <c r="B193" s="30"/>
      <c r="C193" s="30"/>
      <c r="D193" s="30"/>
      <c r="E193" s="30"/>
      <c r="F193" s="30"/>
      <c r="G193" s="30"/>
      <c r="H193" s="27" t="str">
        <f t="shared" si="23"/>
        <v/>
      </c>
      <c r="I193" s="30"/>
    </row>
    <row r="194" ht="18.75" customHeight="1">
      <c r="A194" s="31"/>
      <c r="B194" s="31"/>
      <c r="C194" s="31"/>
      <c r="D194" s="31"/>
      <c r="E194" s="31"/>
      <c r="F194" s="31"/>
      <c r="G194" s="31"/>
      <c r="H194" s="23" t="str">
        <f t="shared" si="23"/>
        <v/>
      </c>
      <c r="I194" s="31"/>
    </row>
    <row r="195" ht="18.75" customHeight="1">
      <c r="A195" s="30"/>
      <c r="B195" s="30"/>
      <c r="C195" s="30"/>
      <c r="D195" s="30"/>
      <c r="E195" s="30"/>
      <c r="F195" s="30"/>
      <c r="G195" s="30"/>
      <c r="H195" s="27" t="str">
        <f t="shared" si="23"/>
        <v/>
      </c>
      <c r="I195" s="30"/>
    </row>
    <row r="196" ht="18.75" customHeight="1">
      <c r="A196" s="31"/>
      <c r="B196" s="31"/>
      <c r="C196" s="31"/>
      <c r="D196" s="31"/>
      <c r="E196" s="31"/>
      <c r="F196" s="31"/>
      <c r="G196" s="31"/>
      <c r="H196" s="23" t="str">
        <f t="shared" si="23"/>
        <v/>
      </c>
      <c r="I196" s="31"/>
    </row>
    <row r="197" ht="18.75" customHeight="1">
      <c r="A197" s="30"/>
      <c r="B197" s="30"/>
      <c r="C197" s="30"/>
      <c r="D197" s="30"/>
      <c r="E197" s="30"/>
      <c r="F197" s="30"/>
      <c r="G197" s="30"/>
      <c r="H197" s="27" t="str">
        <f t="shared" si="23"/>
        <v/>
      </c>
      <c r="I197" s="30"/>
    </row>
    <row r="198" ht="18.75" customHeight="1">
      <c r="A198" s="31"/>
      <c r="B198" s="31"/>
      <c r="C198" s="31"/>
      <c r="D198" s="31"/>
      <c r="E198" s="31"/>
      <c r="F198" s="31"/>
      <c r="G198" s="31"/>
      <c r="H198" s="23"/>
      <c r="I198" s="31"/>
    </row>
    <row r="199" ht="18.75" customHeight="1">
      <c r="A199" s="30"/>
      <c r="B199" s="30"/>
      <c r="C199" s="30"/>
      <c r="D199" s="30"/>
      <c r="E199" s="30"/>
      <c r="F199" s="30"/>
      <c r="G199" s="30"/>
      <c r="H199" s="27" t="str">
        <f t="shared" ref="H199:H205" si="24">IF(AND(F199="", G199=""), "", SUM($F$12:F199)-SUM($G$12:G199))</f>
        <v/>
      </c>
      <c r="I199" s="30"/>
    </row>
    <row r="200" ht="18.75" customHeight="1">
      <c r="A200" s="31"/>
      <c r="B200" s="31"/>
      <c r="C200" s="31"/>
      <c r="D200" s="31"/>
      <c r="E200" s="31"/>
      <c r="F200" s="31"/>
      <c r="G200" s="31"/>
      <c r="H200" s="23" t="str">
        <f t="shared" si="24"/>
        <v/>
      </c>
      <c r="I200" s="31"/>
    </row>
    <row r="201" ht="18.75" customHeight="1">
      <c r="A201" s="30"/>
      <c r="B201" s="30"/>
      <c r="C201" s="30"/>
      <c r="D201" s="30"/>
      <c r="E201" s="30"/>
      <c r="F201" s="30"/>
      <c r="G201" s="30"/>
      <c r="H201" s="27" t="str">
        <f t="shared" si="24"/>
        <v/>
      </c>
      <c r="I201" s="30"/>
    </row>
    <row r="202" ht="18.75" customHeight="1">
      <c r="A202" s="31"/>
      <c r="B202" s="31"/>
      <c r="C202" s="31"/>
      <c r="D202" s="31"/>
      <c r="E202" s="31"/>
      <c r="F202" s="31"/>
      <c r="G202" s="31"/>
      <c r="H202" s="23" t="str">
        <f t="shared" si="24"/>
        <v/>
      </c>
      <c r="I202" s="31"/>
    </row>
    <row r="203" ht="18.75" customHeight="1">
      <c r="A203" s="30"/>
      <c r="B203" s="30"/>
      <c r="C203" s="30"/>
      <c r="D203" s="30"/>
      <c r="E203" s="30"/>
      <c r="F203" s="30"/>
      <c r="G203" s="30"/>
      <c r="H203" s="27" t="str">
        <f t="shared" si="24"/>
        <v/>
      </c>
      <c r="I203" s="30"/>
    </row>
    <row r="204" ht="18.75" customHeight="1">
      <c r="A204" s="31"/>
      <c r="B204" s="31"/>
      <c r="C204" s="31"/>
      <c r="D204" s="31"/>
      <c r="E204" s="31"/>
      <c r="F204" s="31"/>
      <c r="G204" s="31"/>
      <c r="H204" s="23" t="str">
        <f t="shared" si="24"/>
        <v/>
      </c>
      <c r="I204" s="31"/>
    </row>
    <row r="205" ht="18.75" customHeight="1">
      <c r="A205" s="30"/>
      <c r="B205" s="30"/>
      <c r="C205" s="30"/>
      <c r="D205" s="30"/>
      <c r="E205" s="30"/>
      <c r="F205" s="30"/>
      <c r="G205" s="30"/>
      <c r="H205" s="27" t="str">
        <f t="shared" si="24"/>
        <v/>
      </c>
      <c r="I205" s="30"/>
    </row>
    <row r="206" ht="18.75" customHeight="1">
      <c r="A206" s="31"/>
      <c r="B206" s="31"/>
      <c r="C206" s="31"/>
      <c r="D206" s="31"/>
      <c r="E206" s="31"/>
      <c r="F206" s="31"/>
      <c r="G206" s="31"/>
      <c r="H206" s="23"/>
      <c r="I206" s="31"/>
    </row>
    <row r="207" ht="18.75" customHeight="1">
      <c r="A207" s="30"/>
      <c r="B207" s="30"/>
      <c r="C207" s="30"/>
      <c r="D207" s="30"/>
      <c r="E207" s="30"/>
      <c r="F207" s="30"/>
      <c r="G207" s="30"/>
      <c r="H207" s="27" t="str">
        <f t="shared" ref="H207:H213" si="25">IF(AND(F207="", G207=""), "", SUM($F$12:F207)-SUM($G$12:G207))</f>
        <v/>
      </c>
      <c r="I207" s="30"/>
    </row>
    <row r="208" ht="18.75" customHeight="1">
      <c r="A208" s="31"/>
      <c r="B208" s="31"/>
      <c r="C208" s="31"/>
      <c r="D208" s="31"/>
      <c r="E208" s="31"/>
      <c r="F208" s="31"/>
      <c r="G208" s="31"/>
      <c r="H208" s="23" t="str">
        <f t="shared" si="25"/>
        <v/>
      </c>
      <c r="I208" s="31"/>
    </row>
    <row r="209" ht="18.75" customHeight="1">
      <c r="A209" s="30"/>
      <c r="B209" s="30"/>
      <c r="C209" s="30"/>
      <c r="D209" s="30"/>
      <c r="E209" s="30"/>
      <c r="F209" s="30"/>
      <c r="G209" s="30"/>
      <c r="H209" s="27" t="str">
        <f t="shared" si="25"/>
        <v/>
      </c>
      <c r="I209" s="30"/>
    </row>
    <row r="210" ht="18.75" customHeight="1">
      <c r="A210" s="31"/>
      <c r="B210" s="31"/>
      <c r="C210" s="31"/>
      <c r="D210" s="31"/>
      <c r="E210" s="31"/>
      <c r="F210" s="31"/>
      <c r="G210" s="31"/>
      <c r="H210" s="23" t="str">
        <f t="shared" si="25"/>
        <v/>
      </c>
      <c r="I210" s="31"/>
    </row>
    <row r="211" ht="18.75" customHeight="1">
      <c r="A211" s="30"/>
      <c r="B211" s="30"/>
      <c r="C211" s="30"/>
      <c r="D211" s="30"/>
      <c r="E211" s="30"/>
      <c r="F211" s="30"/>
      <c r="G211" s="30"/>
      <c r="H211" s="27" t="str">
        <f t="shared" si="25"/>
        <v/>
      </c>
      <c r="I211" s="30"/>
    </row>
    <row r="212" ht="18.75" customHeight="1">
      <c r="A212" s="31"/>
      <c r="B212" s="31"/>
      <c r="C212" s="31"/>
      <c r="D212" s="31"/>
      <c r="E212" s="31"/>
      <c r="F212" s="31"/>
      <c r="G212" s="31"/>
      <c r="H212" s="23" t="str">
        <f t="shared" si="25"/>
        <v/>
      </c>
      <c r="I212" s="31"/>
    </row>
    <row r="213" ht="18.75" customHeight="1">
      <c r="A213" s="30"/>
      <c r="B213" s="30"/>
      <c r="C213" s="30"/>
      <c r="D213" s="30"/>
      <c r="E213" s="30"/>
      <c r="F213" s="30"/>
      <c r="G213" s="30"/>
      <c r="H213" s="27" t="str">
        <f t="shared" si="25"/>
        <v/>
      </c>
      <c r="I213" s="30"/>
    </row>
    <row r="214" ht="18.75" customHeight="1">
      <c r="A214" s="31"/>
      <c r="B214" s="31"/>
      <c r="C214" s="31"/>
      <c r="D214" s="31"/>
      <c r="E214" s="31"/>
      <c r="F214" s="31"/>
      <c r="G214" s="31"/>
      <c r="H214" s="23"/>
      <c r="I214" s="31"/>
    </row>
    <row r="215" ht="18.75" customHeight="1">
      <c r="A215" s="30"/>
      <c r="B215" s="30"/>
      <c r="C215" s="30"/>
      <c r="D215" s="30"/>
      <c r="E215" s="30"/>
      <c r="F215" s="30"/>
      <c r="G215" s="30"/>
      <c r="H215" s="27" t="str">
        <f t="shared" ref="H215:H221" si="26">IF(AND(F215="", G215=""), "", SUM($F$12:F215)-SUM($G$12:G215))</f>
        <v/>
      </c>
      <c r="I215" s="30"/>
    </row>
    <row r="216" ht="18.75" customHeight="1">
      <c r="A216" s="31"/>
      <c r="B216" s="31"/>
      <c r="C216" s="31"/>
      <c r="D216" s="31"/>
      <c r="E216" s="31"/>
      <c r="F216" s="31"/>
      <c r="G216" s="31"/>
      <c r="H216" s="23" t="str">
        <f t="shared" si="26"/>
        <v/>
      </c>
      <c r="I216" s="31"/>
    </row>
    <row r="217" ht="18.75" customHeight="1">
      <c r="A217" s="30"/>
      <c r="B217" s="30"/>
      <c r="C217" s="30"/>
      <c r="D217" s="30"/>
      <c r="E217" s="30"/>
      <c r="F217" s="30"/>
      <c r="G217" s="30"/>
      <c r="H217" s="27" t="str">
        <f t="shared" si="26"/>
        <v/>
      </c>
      <c r="I217" s="30"/>
    </row>
    <row r="218" ht="18.75" customHeight="1">
      <c r="A218" s="31"/>
      <c r="B218" s="31"/>
      <c r="C218" s="31"/>
      <c r="D218" s="31"/>
      <c r="E218" s="31"/>
      <c r="F218" s="31"/>
      <c r="G218" s="31"/>
      <c r="H218" s="23" t="str">
        <f t="shared" si="26"/>
        <v/>
      </c>
      <c r="I218" s="31"/>
    </row>
    <row r="219" ht="18.75" customHeight="1">
      <c r="A219" s="30"/>
      <c r="B219" s="30"/>
      <c r="C219" s="30"/>
      <c r="D219" s="30"/>
      <c r="E219" s="30"/>
      <c r="F219" s="30"/>
      <c r="G219" s="30"/>
      <c r="H219" s="27" t="str">
        <f t="shared" si="26"/>
        <v/>
      </c>
      <c r="I219" s="30"/>
    </row>
    <row r="220" ht="18.75" customHeight="1">
      <c r="A220" s="31"/>
      <c r="B220" s="31"/>
      <c r="C220" s="31"/>
      <c r="D220" s="31"/>
      <c r="E220" s="31"/>
      <c r="F220" s="31"/>
      <c r="G220" s="31"/>
      <c r="H220" s="23" t="str">
        <f t="shared" si="26"/>
        <v/>
      </c>
      <c r="I220" s="31"/>
    </row>
    <row r="221" ht="18.75" customHeight="1">
      <c r="A221" s="30"/>
      <c r="B221" s="30"/>
      <c r="C221" s="30"/>
      <c r="D221" s="30"/>
      <c r="E221" s="30"/>
      <c r="F221" s="30"/>
      <c r="G221" s="30"/>
      <c r="H221" s="27" t="str">
        <f t="shared" si="26"/>
        <v/>
      </c>
      <c r="I221" s="30"/>
    </row>
    <row r="222" ht="18.75" customHeight="1">
      <c r="A222" s="31"/>
      <c r="B222" s="31"/>
      <c r="C222" s="31"/>
      <c r="D222" s="31"/>
      <c r="E222" s="31"/>
      <c r="F222" s="31"/>
      <c r="G222" s="31"/>
      <c r="H222" s="23"/>
      <c r="I222" s="31"/>
    </row>
    <row r="223" ht="18.75" customHeight="1">
      <c r="A223" s="30"/>
      <c r="B223" s="30"/>
      <c r="C223" s="30"/>
      <c r="D223" s="30"/>
      <c r="E223" s="30"/>
      <c r="F223" s="30"/>
      <c r="G223" s="30"/>
      <c r="H223" s="27" t="str">
        <f t="shared" ref="H223:H229" si="27">IF(AND(F223="", G223=""), "", SUM($F$12:F223)-SUM($G$12:G223))</f>
        <v/>
      </c>
      <c r="I223" s="30"/>
    </row>
    <row r="224" ht="18.75" customHeight="1">
      <c r="A224" s="31"/>
      <c r="B224" s="31"/>
      <c r="C224" s="31"/>
      <c r="D224" s="31"/>
      <c r="E224" s="31"/>
      <c r="F224" s="31"/>
      <c r="G224" s="31"/>
      <c r="H224" s="23" t="str">
        <f t="shared" si="27"/>
        <v/>
      </c>
      <c r="I224" s="31"/>
    </row>
    <row r="225" ht="18.75" customHeight="1">
      <c r="A225" s="30"/>
      <c r="B225" s="30"/>
      <c r="C225" s="30"/>
      <c r="D225" s="30"/>
      <c r="E225" s="30"/>
      <c r="F225" s="30"/>
      <c r="G225" s="30"/>
      <c r="H225" s="27" t="str">
        <f t="shared" si="27"/>
        <v/>
      </c>
      <c r="I225" s="30"/>
    </row>
    <row r="226" ht="18.75" customHeight="1">
      <c r="A226" s="31"/>
      <c r="B226" s="31"/>
      <c r="C226" s="31"/>
      <c r="D226" s="31"/>
      <c r="E226" s="31"/>
      <c r="F226" s="31"/>
      <c r="G226" s="31"/>
      <c r="H226" s="23" t="str">
        <f t="shared" si="27"/>
        <v/>
      </c>
      <c r="I226" s="31"/>
    </row>
    <row r="227" ht="18.75" customHeight="1">
      <c r="A227" s="30"/>
      <c r="B227" s="30"/>
      <c r="C227" s="30"/>
      <c r="D227" s="30"/>
      <c r="E227" s="30"/>
      <c r="F227" s="30"/>
      <c r="G227" s="30"/>
      <c r="H227" s="27" t="str">
        <f t="shared" si="27"/>
        <v/>
      </c>
      <c r="I227" s="30"/>
    </row>
    <row r="228" ht="18.75" customHeight="1">
      <c r="A228" s="31"/>
      <c r="B228" s="31"/>
      <c r="C228" s="31"/>
      <c r="D228" s="31"/>
      <c r="E228" s="31"/>
      <c r="F228" s="31"/>
      <c r="G228" s="31"/>
      <c r="H228" s="23" t="str">
        <f t="shared" si="27"/>
        <v/>
      </c>
      <c r="I228" s="31"/>
    </row>
    <row r="229" ht="18.75" customHeight="1">
      <c r="A229" s="30"/>
      <c r="B229" s="30"/>
      <c r="C229" s="30"/>
      <c r="D229" s="30"/>
      <c r="E229" s="30"/>
      <c r="F229" s="30"/>
      <c r="G229" s="30"/>
      <c r="H229" s="27" t="str">
        <f t="shared" si="27"/>
        <v/>
      </c>
      <c r="I229" s="30"/>
    </row>
    <row r="230" ht="18.75" customHeight="1">
      <c r="A230" s="31"/>
      <c r="B230" s="31"/>
      <c r="C230" s="31"/>
      <c r="D230" s="31"/>
      <c r="E230" s="31"/>
      <c r="F230" s="31"/>
      <c r="G230" s="31"/>
      <c r="H230" s="23"/>
      <c r="I230" s="31"/>
    </row>
    <row r="231" ht="18.75" customHeight="1">
      <c r="A231" s="30"/>
      <c r="B231" s="30"/>
      <c r="C231" s="30"/>
      <c r="D231" s="30"/>
      <c r="E231" s="30"/>
      <c r="F231" s="30"/>
      <c r="G231" s="30"/>
      <c r="H231" s="27" t="str">
        <f t="shared" ref="H231:H237" si="28">IF(AND(F231="", G231=""), "", SUM($F$12:F231)-SUM($G$12:G231))</f>
        <v/>
      </c>
      <c r="I231" s="30"/>
    </row>
    <row r="232" ht="18.75" customHeight="1">
      <c r="A232" s="31"/>
      <c r="B232" s="31"/>
      <c r="C232" s="31"/>
      <c r="D232" s="31"/>
      <c r="E232" s="31"/>
      <c r="F232" s="31"/>
      <c r="G232" s="31"/>
      <c r="H232" s="23" t="str">
        <f t="shared" si="28"/>
        <v/>
      </c>
      <c r="I232" s="31"/>
    </row>
    <row r="233" ht="18.75" customHeight="1">
      <c r="A233" s="30"/>
      <c r="B233" s="30"/>
      <c r="C233" s="30"/>
      <c r="D233" s="30"/>
      <c r="E233" s="30"/>
      <c r="F233" s="30"/>
      <c r="G233" s="30"/>
      <c r="H233" s="27" t="str">
        <f t="shared" si="28"/>
        <v/>
      </c>
      <c r="I233" s="30"/>
    </row>
    <row r="234" ht="18.75" customHeight="1">
      <c r="A234" s="31"/>
      <c r="B234" s="31"/>
      <c r="C234" s="31"/>
      <c r="D234" s="31"/>
      <c r="E234" s="31"/>
      <c r="F234" s="31"/>
      <c r="G234" s="31"/>
      <c r="H234" s="23" t="str">
        <f t="shared" si="28"/>
        <v/>
      </c>
      <c r="I234" s="31"/>
    </row>
    <row r="235" ht="18.75" customHeight="1">
      <c r="A235" s="30"/>
      <c r="B235" s="30"/>
      <c r="C235" s="30"/>
      <c r="D235" s="30"/>
      <c r="E235" s="30"/>
      <c r="F235" s="30"/>
      <c r="G235" s="30"/>
      <c r="H235" s="27" t="str">
        <f t="shared" si="28"/>
        <v/>
      </c>
      <c r="I235" s="30"/>
    </row>
    <row r="236" ht="18.75" customHeight="1">
      <c r="A236" s="31"/>
      <c r="B236" s="31"/>
      <c r="C236" s="31"/>
      <c r="D236" s="31"/>
      <c r="E236" s="31"/>
      <c r="F236" s="31"/>
      <c r="G236" s="31"/>
      <c r="H236" s="23" t="str">
        <f t="shared" si="28"/>
        <v/>
      </c>
      <c r="I236" s="31"/>
    </row>
    <row r="237" ht="18.75" customHeight="1">
      <c r="A237" s="30"/>
      <c r="B237" s="30"/>
      <c r="C237" s="30"/>
      <c r="D237" s="30"/>
      <c r="E237" s="30"/>
      <c r="F237" s="30"/>
      <c r="G237" s="30"/>
      <c r="H237" s="27" t="str">
        <f t="shared" si="28"/>
        <v/>
      </c>
      <c r="I237" s="30"/>
    </row>
    <row r="238" ht="18.75" customHeight="1">
      <c r="A238" s="31"/>
      <c r="B238" s="31"/>
      <c r="C238" s="31"/>
      <c r="D238" s="31"/>
      <c r="E238" s="31"/>
      <c r="F238" s="31"/>
      <c r="G238" s="31"/>
      <c r="H238" s="23"/>
      <c r="I238" s="31"/>
    </row>
    <row r="239" ht="18.75" customHeight="1">
      <c r="A239" s="30"/>
      <c r="B239" s="30"/>
      <c r="C239" s="30"/>
      <c r="D239" s="30"/>
      <c r="E239" s="30"/>
      <c r="F239" s="30"/>
      <c r="G239" s="30"/>
      <c r="H239" s="27" t="str">
        <f t="shared" ref="H239:H245" si="29">IF(AND(F239="", G239=""), "", SUM($F$12:F239)-SUM($G$12:G239))</f>
        <v/>
      </c>
      <c r="I239" s="30"/>
    </row>
    <row r="240" ht="18.75" customHeight="1">
      <c r="A240" s="31"/>
      <c r="B240" s="31"/>
      <c r="C240" s="31"/>
      <c r="D240" s="31"/>
      <c r="E240" s="31"/>
      <c r="F240" s="31"/>
      <c r="G240" s="31"/>
      <c r="H240" s="23" t="str">
        <f t="shared" si="29"/>
        <v/>
      </c>
      <c r="I240" s="31"/>
    </row>
    <row r="241" ht="18.75" customHeight="1">
      <c r="A241" s="30"/>
      <c r="B241" s="30"/>
      <c r="C241" s="30"/>
      <c r="D241" s="30"/>
      <c r="E241" s="30"/>
      <c r="F241" s="30"/>
      <c r="G241" s="30"/>
      <c r="H241" s="27" t="str">
        <f t="shared" si="29"/>
        <v/>
      </c>
      <c r="I241" s="30"/>
    </row>
    <row r="242" ht="18.75" customHeight="1">
      <c r="A242" s="31"/>
      <c r="B242" s="31"/>
      <c r="C242" s="31"/>
      <c r="D242" s="31"/>
      <c r="E242" s="31"/>
      <c r="F242" s="31"/>
      <c r="G242" s="31"/>
      <c r="H242" s="23" t="str">
        <f t="shared" si="29"/>
        <v/>
      </c>
      <c r="I242" s="31"/>
    </row>
    <row r="243" ht="18.75" customHeight="1">
      <c r="A243" s="30"/>
      <c r="B243" s="30"/>
      <c r="C243" s="30"/>
      <c r="D243" s="30"/>
      <c r="E243" s="30"/>
      <c r="F243" s="30"/>
      <c r="G243" s="30"/>
      <c r="H243" s="27" t="str">
        <f t="shared" si="29"/>
        <v/>
      </c>
      <c r="I243" s="30"/>
    </row>
    <row r="244" ht="18.75" customHeight="1">
      <c r="A244" s="31"/>
      <c r="B244" s="31"/>
      <c r="C244" s="31"/>
      <c r="D244" s="31"/>
      <c r="E244" s="31"/>
      <c r="F244" s="31"/>
      <c r="G244" s="31"/>
      <c r="H244" s="23" t="str">
        <f t="shared" si="29"/>
        <v/>
      </c>
      <c r="I244" s="31"/>
    </row>
    <row r="245" ht="18.75" customHeight="1">
      <c r="A245" s="30"/>
      <c r="B245" s="30"/>
      <c r="C245" s="30"/>
      <c r="D245" s="30"/>
      <c r="E245" s="30"/>
      <c r="F245" s="30"/>
      <c r="G245" s="30"/>
      <c r="H245" s="27" t="str">
        <f t="shared" si="29"/>
        <v/>
      </c>
      <c r="I245" s="30"/>
    </row>
    <row r="246" ht="18.75" customHeight="1">
      <c r="A246" s="31"/>
      <c r="B246" s="31"/>
      <c r="C246" s="31"/>
      <c r="D246" s="31"/>
      <c r="E246" s="31"/>
      <c r="F246" s="31"/>
      <c r="G246" s="31"/>
      <c r="H246" s="23"/>
      <c r="I246" s="31"/>
    </row>
    <row r="247" ht="18.75" customHeight="1">
      <c r="A247" s="30"/>
      <c r="B247" s="30"/>
      <c r="C247" s="30"/>
      <c r="D247" s="30"/>
      <c r="E247" s="30"/>
      <c r="F247" s="30"/>
      <c r="G247" s="30"/>
      <c r="H247" s="27" t="str">
        <f t="shared" ref="H247:H253" si="30">IF(AND(F247="", G247=""), "", SUM($F$12:F247)-SUM($G$12:G247))</f>
        <v/>
      </c>
      <c r="I247" s="30"/>
    </row>
    <row r="248" ht="18.75" customHeight="1">
      <c r="A248" s="31"/>
      <c r="B248" s="31"/>
      <c r="C248" s="31"/>
      <c r="D248" s="31"/>
      <c r="E248" s="31"/>
      <c r="F248" s="31"/>
      <c r="G248" s="31"/>
      <c r="H248" s="23" t="str">
        <f t="shared" si="30"/>
        <v/>
      </c>
      <c r="I248" s="31"/>
    </row>
    <row r="249" ht="18.75" customHeight="1">
      <c r="A249" s="30"/>
      <c r="B249" s="30"/>
      <c r="C249" s="30"/>
      <c r="D249" s="30"/>
      <c r="E249" s="30"/>
      <c r="F249" s="30"/>
      <c r="G249" s="30"/>
      <c r="H249" s="27" t="str">
        <f t="shared" si="30"/>
        <v/>
      </c>
      <c r="I249" s="30"/>
    </row>
    <row r="250" ht="18.75" customHeight="1">
      <c r="A250" s="31"/>
      <c r="B250" s="31"/>
      <c r="C250" s="31"/>
      <c r="D250" s="31"/>
      <c r="E250" s="31"/>
      <c r="F250" s="31"/>
      <c r="G250" s="31"/>
      <c r="H250" s="23" t="str">
        <f t="shared" si="30"/>
        <v/>
      </c>
      <c r="I250" s="31"/>
    </row>
    <row r="251" ht="18.75" customHeight="1">
      <c r="A251" s="30"/>
      <c r="B251" s="30"/>
      <c r="C251" s="30"/>
      <c r="D251" s="30"/>
      <c r="E251" s="30"/>
      <c r="F251" s="30"/>
      <c r="G251" s="30"/>
      <c r="H251" s="27" t="str">
        <f t="shared" si="30"/>
        <v/>
      </c>
      <c r="I251" s="30"/>
    </row>
    <row r="252" ht="18.75" customHeight="1">
      <c r="A252" s="31"/>
      <c r="B252" s="31"/>
      <c r="C252" s="31"/>
      <c r="D252" s="31"/>
      <c r="E252" s="31"/>
      <c r="F252" s="31"/>
      <c r="G252" s="31"/>
      <c r="H252" s="23" t="str">
        <f t="shared" si="30"/>
        <v/>
      </c>
      <c r="I252" s="31"/>
    </row>
    <row r="253" ht="18.75" customHeight="1">
      <c r="A253" s="30"/>
      <c r="B253" s="30"/>
      <c r="C253" s="30"/>
      <c r="D253" s="30"/>
      <c r="E253" s="30"/>
      <c r="F253" s="30"/>
      <c r="G253" s="30"/>
      <c r="H253" s="27" t="str">
        <f t="shared" si="30"/>
        <v/>
      </c>
      <c r="I253" s="30"/>
    </row>
    <row r="254" ht="18.75" customHeight="1">
      <c r="A254" s="31"/>
      <c r="B254" s="31"/>
      <c r="C254" s="31"/>
      <c r="D254" s="31"/>
      <c r="E254" s="31"/>
      <c r="F254" s="31"/>
      <c r="G254" s="31"/>
      <c r="H254" s="23"/>
      <c r="I254" s="31"/>
    </row>
    <row r="255" ht="18.75" customHeight="1">
      <c r="A255" s="30"/>
      <c r="B255" s="30"/>
      <c r="C255" s="30"/>
      <c r="D255" s="30"/>
      <c r="E255" s="30"/>
      <c r="F255" s="30"/>
      <c r="G255" s="30"/>
      <c r="H255" s="27" t="str">
        <f t="shared" ref="H255:H261" si="31">IF(AND(F255="", G255=""), "", SUM($F$12:F255)-SUM($G$12:G255))</f>
        <v/>
      </c>
      <c r="I255" s="30"/>
    </row>
    <row r="256" ht="18.75" customHeight="1">
      <c r="A256" s="31"/>
      <c r="B256" s="31"/>
      <c r="C256" s="31"/>
      <c r="D256" s="31"/>
      <c r="E256" s="31"/>
      <c r="F256" s="31"/>
      <c r="G256" s="31"/>
      <c r="H256" s="23" t="str">
        <f t="shared" si="31"/>
        <v/>
      </c>
      <c r="I256" s="31"/>
    </row>
    <row r="257" ht="18.75" customHeight="1">
      <c r="A257" s="30"/>
      <c r="B257" s="30"/>
      <c r="C257" s="30"/>
      <c r="D257" s="30"/>
      <c r="E257" s="30"/>
      <c r="F257" s="30"/>
      <c r="G257" s="30"/>
      <c r="H257" s="27" t="str">
        <f t="shared" si="31"/>
        <v/>
      </c>
      <c r="I257" s="30"/>
    </row>
    <row r="258" ht="18.75" customHeight="1">
      <c r="A258" s="31"/>
      <c r="B258" s="31"/>
      <c r="C258" s="31"/>
      <c r="D258" s="31"/>
      <c r="E258" s="31"/>
      <c r="F258" s="31"/>
      <c r="G258" s="31"/>
      <c r="H258" s="23" t="str">
        <f t="shared" si="31"/>
        <v/>
      </c>
      <c r="I258" s="31"/>
    </row>
    <row r="259" ht="18.75" customHeight="1">
      <c r="A259" s="30"/>
      <c r="B259" s="30"/>
      <c r="C259" s="30"/>
      <c r="D259" s="30"/>
      <c r="E259" s="30"/>
      <c r="F259" s="30"/>
      <c r="G259" s="30"/>
      <c r="H259" s="27" t="str">
        <f t="shared" si="31"/>
        <v/>
      </c>
      <c r="I259" s="30"/>
    </row>
    <row r="260" ht="18.75" customHeight="1">
      <c r="A260" s="31"/>
      <c r="B260" s="31"/>
      <c r="C260" s="31"/>
      <c r="D260" s="31"/>
      <c r="E260" s="31"/>
      <c r="F260" s="31"/>
      <c r="G260" s="31"/>
      <c r="H260" s="23" t="str">
        <f t="shared" si="31"/>
        <v/>
      </c>
      <c r="I260" s="31"/>
    </row>
    <row r="261" ht="18.75" customHeight="1">
      <c r="A261" s="30"/>
      <c r="B261" s="30"/>
      <c r="C261" s="30"/>
      <c r="D261" s="30"/>
      <c r="E261" s="30"/>
      <c r="F261" s="30"/>
      <c r="G261" s="30"/>
      <c r="H261" s="27" t="str">
        <f t="shared" si="31"/>
        <v/>
      </c>
      <c r="I261" s="30"/>
    </row>
    <row r="262" ht="18.75" customHeight="1">
      <c r="A262" s="31"/>
      <c r="B262" s="31"/>
      <c r="C262" s="31"/>
      <c r="D262" s="31"/>
      <c r="E262" s="31"/>
      <c r="F262" s="31"/>
      <c r="G262" s="31"/>
      <c r="H262" s="23"/>
      <c r="I262" s="31"/>
    </row>
    <row r="263" ht="18.75" customHeight="1">
      <c r="A263" s="30"/>
      <c r="B263" s="30"/>
      <c r="C263" s="30"/>
      <c r="D263" s="30"/>
      <c r="E263" s="30"/>
      <c r="F263" s="30"/>
      <c r="G263" s="30"/>
      <c r="H263" s="27" t="str">
        <f t="shared" ref="H263:H269" si="32">IF(AND(F263="", G263=""), "", SUM($F$12:F263)-SUM($G$12:G263))</f>
        <v/>
      </c>
      <c r="I263" s="30"/>
    </row>
    <row r="264" ht="18.75" customHeight="1">
      <c r="A264" s="31"/>
      <c r="B264" s="31"/>
      <c r="C264" s="31"/>
      <c r="D264" s="31"/>
      <c r="E264" s="31"/>
      <c r="F264" s="31"/>
      <c r="G264" s="31"/>
      <c r="H264" s="23" t="str">
        <f t="shared" si="32"/>
        <v/>
      </c>
      <c r="I264" s="31"/>
    </row>
    <row r="265" ht="18.75" customHeight="1">
      <c r="A265" s="30"/>
      <c r="B265" s="30"/>
      <c r="C265" s="30"/>
      <c r="D265" s="30"/>
      <c r="E265" s="30"/>
      <c r="F265" s="30"/>
      <c r="G265" s="30"/>
      <c r="H265" s="27" t="str">
        <f t="shared" si="32"/>
        <v/>
      </c>
      <c r="I265" s="30"/>
    </row>
    <row r="266" ht="18.75" customHeight="1">
      <c r="A266" s="31"/>
      <c r="B266" s="31"/>
      <c r="C266" s="31"/>
      <c r="D266" s="31"/>
      <c r="E266" s="31"/>
      <c r="F266" s="31"/>
      <c r="G266" s="31"/>
      <c r="H266" s="23" t="str">
        <f t="shared" si="32"/>
        <v/>
      </c>
      <c r="I266" s="31"/>
    </row>
    <row r="267" ht="18.75" customHeight="1">
      <c r="A267" s="30"/>
      <c r="B267" s="30"/>
      <c r="C267" s="30"/>
      <c r="D267" s="30"/>
      <c r="E267" s="30"/>
      <c r="F267" s="30"/>
      <c r="G267" s="30"/>
      <c r="H267" s="27" t="str">
        <f t="shared" si="32"/>
        <v/>
      </c>
      <c r="I267" s="30"/>
    </row>
    <row r="268" ht="18.75" customHeight="1">
      <c r="A268" s="31"/>
      <c r="B268" s="31"/>
      <c r="C268" s="31"/>
      <c r="D268" s="31"/>
      <c r="E268" s="31"/>
      <c r="F268" s="31"/>
      <c r="G268" s="31"/>
      <c r="H268" s="23" t="str">
        <f t="shared" si="32"/>
        <v/>
      </c>
      <c r="I268" s="31"/>
    </row>
    <row r="269" ht="18.75" customHeight="1">
      <c r="A269" s="30"/>
      <c r="B269" s="30"/>
      <c r="C269" s="30"/>
      <c r="D269" s="30"/>
      <c r="E269" s="30"/>
      <c r="F269" s="30"/>
      <c r="G269" s="30"/>
      <c r="H269" s="27" t="str">
        <f t="shared" si="32"/>
        <v/>
      </c>
      <c r="I269" s="30"/>
    </row>
    <row r="270" ht="18.75" customHeight="1">
      <c r="A270" s="31"/>
      <c r="B270" s="31"/>
      <c r="C270" s="31"/>
      <c r="D270" s="31"/>
      <c r="E270" s="31"/>
      <c r="F270" s="31"/>
      <c r="G270" s="31"/>
      <c r="H270" s="23"/>
      <c r="I270" s="31"/>
    </row>
    <row r="271" ht="18.75" customHeight="1">
      <c r="A271" s="30"/>
      <c r="B271" s="30"/>
      <c r="C271" s="30"/>
      <c r="D271" s="30"/>
      <c r="E271" s="30"/>
      <c r="F271" s="30"/>
      <c r="G271" s="30"/>
      <c r="H271" s="27" t="str">
        <f t="shared" ref="H271:H277" si="33">IF(AND(F271="", G271=""), "", SUM($F$12:F271)-SUM($G$12:G271))</f>
        <v/>
      </c>
      <c r="I271" s="30"/>
    </row>
    <row r="272" ht="18.75" customHeight="1">
      <c r="A272" s="31"/>
      <c r="B272" s="31"/>
      <c r="C272" s="31"/>
      <c r="D272" s="31"/>
      <c r="E272" s="31"/>
      <c r="F272" s="31"/>
      <c r="G272" s="31"/>
      <c r="H272" s="23" t="str">
        <f t="shared" si="33"/>
        <v/>
      </c>
      <c r="I272" s="31"/>
    </row>
    <row r="273" ht="18.75" customHeight="1">
      <c r="A273" s="30"/>
      <c r="B273" s="30"/>
      <c r="C273" s="30"/>
      <c r="D273" s="30"/>
      <c r="E273" s="30"/>
      <c r="F273" s="30"/>
      <c r="G273" s="30"/>
      <c r="H273" s="27" t="str">
        <f t="shared" si="33"/>
        <v/>
      </c>
      <c r="I273" s="30"/>
    </row>
    <row r="274" ht="18.75" customHeight="1">
      <c r="A274" s="31"/>
      <c r="B274" s="31"/>
      <c r="C274" s="31"/>
      <c r="D274" s="31"/>
      <c r="E274" s="31"/>
      <c r="F274" s="31"/>
      <c r="G274" s="31"/>
      <c r="H274" s="23" t="str">
        <f t="shared" si="33"/>
        <v/>
      </c>
      <c r="I274" s="31"/>
    </row>
    <row r="275" ht="18.75" customHeight="1">
      <c r="A275" s="30"/>
      <c r="B275" s="30"/>
      <c r="C275" s="30"/>
      <c r="D275" s="30"/>
      <c r="E275" s="30"/>
      <c r="F275" s="30"/>
      <c r="G275" s="30"/>
      <c r="H275" s="27" t="str">
        <f t="shared" si="33"/>
        <v/>
      </c>
      <c r="I275" s="30"/>
    </row>
    <row r="276" ht="18.75" customHeight="1">
      <c r="A276" s="31"/>
      <c r="B276" s="31"/>
      <c r="C276" s="31"/>
      <c r="D276" s="31"/>
      <c r="E276" s="31"/>
      <c r="F276" s="31"/>
      <c r="G276" s="31"/>
      <c r="H276" s="23" t="str">
        <f t="shared" si="33"/>
        <v/>
      </c>
      <c r="I276" s="31"/>
    </row>
    <row r="277" ht="18.75" customHeight="1">
      <c r="A277" s="30"/>
      <c r="B277" s="30"/>
      <c r="C277" s="30"/>
      <c r="D277" s="30"/>
      <c r="E277" s="30"/>
      <c r="F277" s="30"/>
      <c r="G277" s="30"/>
      <c r="H277" s="27" t="str">
        <f t="shared" si="33"/>
        <v/>
      </c>
      <c r="I277" s="30"/>
    </row>
    <row r="278" ht="18.75" customHeight="1">
      <c r="A278" s="31"/>
      <c r="B278" s="31"/>
      <c r="C278" s="31"/>
      <c r="D278" s="31"/>
      <c r="E278" s="31"/>
      <c r="F278" s="31"/>
      <c r="G278" s="31"/>
      <c r="H278" s="23"/>
      <c r="I278" s="31"/>
    </row>
    <row r="279" ht="18.75" customHeight="1">
      <c r="A279" s="30"/>
      <c r="B279" s="30"/>
      <c r="C279" s="30"/>
      <c r="D279" s="30"/>
      <c r="E279" s="30"/>
      <c r="F279" s="30"/>
      <c r="G279" s="30"/>
      <c r="H279" s="27" t="str">
        <f t="shared" ref="H279:H285" si="34">IF(AND(F279="", G279=""), "", SUM($F$12:F279)-SUM($G$12:G279))</f>
        <v/>
      </c>
      <c r="I279" s="30"/>
    </row>
    <row r="280" ht="18.75" customHeight="1">
      <c r="A280" s="31"/>
      <c r="B280" s="31"/>
      <c r="C280" s="31"/>
      <c r="D280" s="31"/>
      <c r="E280" s="31"/>
      <c r="F280" s="31"/>
      <c r="G280" s="31"/>
      <c r="H280" s="23" t="str">
        <f t="shared" si="34"/>
        <v/>
      </c>
      <c r="I280" s="31"/>
    </row>
    <row r="281" ht="18.75" customHeight="1">
      <c r="A281" s="30"/>
      <c r="B281" s="30"/>
      <c r="C281" s="30"/>
      <c r="D281" s="30"/>
      <c r="E281" s="30"/>
      <c r="F281" s="30"/>
      <c r="G281" s="30"/>
      <c r="H281" s="27" t="str">
        <f t="shared" si="34"/>
        <v/>
      </c>
      <c r="I281" s="30"/>
    </row>
    <row r="282" ht="18.75" customHeight="1">
      <c r="A282" s="31"/>
      <c r="B282" s="31"/>
      <c r="C282" s="31"/>
      <c r="D282" s="31"/>
      <c r="E282" s="31"/>
      <c r="F282" s="31"/>
      <c r="G282" s="31"/>
      <c r="H282" s="23" t="str">
        <f t="shared" si="34"/>
        <v/>
      </c>
      <c r="I282" s="31"/>
    </row>
    <row r="283" ht="18.75" customHeight="1">
      <c r="A283" s="30"/>
      <c r="B283" s="30"/>
      <c r="C283" s="30"/>
      <c r="D283" s="30"/>
      <c r="E283" s="30"/>
      <c r="F283" s="30"/>
      <c r="G283" s="30"/>
      <c r="H283" s="27" t="str">
        <f t="shared" si="34"/>
        <v/>
      </c>
      <c r="I283" s="30"/>
    </row>
    <row r="284" ht="18.75" customHeight="1">
      <c r="A284" s="31"/>
      <c r="B284" s="31"/>
      <c r="C284" s="31"/>
      <c r="D284" s="31"/>
      <c r="E284" s="31"/>
      <c r="F284" s="31"/>
      <c r="G284" s="31"/>
      <c r="H284" s="23" t="str">
        <f t="shared" si="34"/>
        <v/>
      </c>
      <c r="I284" s="31"/>
    </row>
    <row r="285" ht="18.75" customHeight="1">
      <c r="A285" s="30"/>
      <c r="B285" s="30"/>
      <c r="C285" s="30"/>
      <c r="D285" s="30"/>
      <c r="E285" s="30"/>
      <c r="F285" s="30"/>
      <c r="G285" s="30"/>
      <c r="H285" s="27" t="str">
        <f t="shared" si="34"/>
        <v/>
      </c>
      <c r="I285" s="30"/>
    </row>
    <row r="286" ht="18.75" customHeight="1">
      <c r="A286" s="31"/>
      <c r="B286" s="31"/>
      <c r="C286" s="31"/>
      <c r="D286" s="31"/>
      <c r="E286" s="31"/>
      <c r="F286" s="31"/>
      <c r="G286" s="31"/>
      <c r="H286" s="23"/>
      <c r="I286" s="31"/>
    </row>
    <row r="287" ht="18.75" customHeight="1">
      <c r="A287" s="30"/>
      <c r="B287" s="30"/>
      <c r="C287" s="30"/>
      <c r="D287" s="30"/>
      <c r="E287" s="30"/>
      <c r="F287" s="30"/>
      <c r="G287" s="30"/>
      <c r="H287" s="27" t="str">
        <f t="shared" ref="H287:H293" si="35">IF(AND(F287="", G287=""), "", SUM($F$12:F287)-SUM($G$12:G287))</f>
        <v/>
      </c>
      <c r="I287" s="30"/>
    </row>
    <row r="288" ht="18.75" customHeight="1">
      <c r="A288" s="31"/>
      <c r="B288" s="31"/>
      <c r="C288" s="31"/>
      <c r="D288" s="31"/>
      <c r="E288" s="31"/>
      <c r="F288" s="31"/>
      <c r="G288" s="31"/>
      <c r="H288" s="23" t="str">
        <f t="shared" si="35"/>
        <v/>
      </c>
      <c r="I288" s="31"/>
    </row>
    <row r="289" ht="18.75" customHeight="1">
      <c r="A289" s="30"/>
      <c r="B289" s="30"/>
      <c r="C289" s="30"/>
      <c r="D289" s="30"/>
      <c r="E289" s="30"/>
      <c r="F289" s="30"/>
      <c r="G289" s="30"/>
      <c r="H289" s="27" t="str">
        <f t="shared" si="35"/>
        <v/>
      </c>
      <c r="I289" s="30"/>
    </row>
    <row r="290" ht="18.75" customHeight="1">
      <c r="A290" s="31"/>
      <c r="B290" s="31"/>
      <c r="C290" s="31"/>
      <c r="D290" s="31"/>
      <c r="E290" s="31"/>
      <c r="F290" s="31"/>
      <c r="G290" s="31"/>
      <c r="H290" s="23" t="str">
        <f t="shared" si="35"/>
        <v/>
      </c>
      <c r="I290" s="31"/>
    </row>
    <row r="291" ht="18.75" customHeight="1">
      <c r="A291" s="30"/>
      <c r="B291" s="30"/>
      <c r="C291" s="30"/>
      <c r="D291" s="30"/>
      <c r="E291" s="30"/>
      <c r="F291" s="30"/>
      <c r="G291" s="30"/>
      <c r="H291" s="27" t="str">
        <f t="shared" si="35"/>
        <v/>
      </c>
      <c r="I291" s="30"/>
    </row>
    <row r="292" ht="18.75" customHeight="1">
      <c r="A292" s="31"/>
      <c r="B292" s="31"/>
      <c r="C292" s="31"/>
      <c r="D292" s="31"/>
      <c r="E292" s="31"/>
      <c r="F292" s="31"/>
      <c r="G292" s="31"/>
      <c r="H292" s="23" t="str">
        <f t="shared" si="35"/>
        <v/>
      </c>
      <c r="I292" s="31"/>
    </row>
    <row r="293" ht="18.75" customHeight="1">
      <c r="A293" s="30"/>
      <c r="B293" s="30"/>
      <c r="C293" s="30"/>
      <c r="D293" s="30"/>
      <c r="E293" s="30"/>
      <c r="F293" s="30"/>
      <c r="G293" s="30"/>
      <c r="H293" s="27" t="str">
        <f t="shared" si="35"/>
        <v/>
      </c>
      <c r="I293" s="30"/>
    </row>
    <row r="294" ht="18.75" customHeight="1">
      <c r="A294" s="31"/>
      <c r="B294" s="31"/>
      <c r="C294" s="31"/>
      <c r="D294" s="31"/>
      <c r="E294" s="31"/>
      <c r="F294" s="31"/>
      <c r="G294" s="31"/>
      <c r="H294" s="23"/>
      <c r="I294" s="31"/>
    </row>
    <row r="295" ht="18.75" customHeight="1">
      <c r="A295" s="30"/>
      <c r="B295" s="30"/>
      <c r="C295" s="30"/>
      <c r="D295" s="30"/>
      <c r="E295" s="30"/>
      <c r="F295" s="30"/>
      <c r="G295" s="30"/>
      <c r="H295" s="27" t="str">
        <f t="shared" ref="H295:H301" si="36">IF(AND(F295="", G295=""), "", SUM($F$12:F295)-SUM($G$12:G295))</f>
        <v/>
      </c>
      <c r="I295" s="30"/>
    </row>
    <row r="296" ht="18.75" customHeight="1">
      <c r="A296" s="31"/>
      <c r="B296" s="31"/>
      <c r="C296" s="31"/>
      <c r="D296" s="31"/>
      <c r="E296" s="31"/>
      <c r="F296" s="31"/>
      <c r="G296" s="31"/>
      <c r="H296" s="23" t="str">
        <f t="shared" si="36"/>
        <v/>
      </c>
      <c r="I296" s="31"/>
    </row>
    <row r="297" ht="18.75" customHeight="1">
      <c r="A297" s="30"/>
      <c r="B297" s="30"/>
      <c r="C297" s="30"/>
      <c r="D297" s="30"/>
      <c r="E297" s="30"/>
      <c r="F297" s="30"/>
      <c r="G297" s="30"/>
      <c r="H297" s="27" t="str">
        <f t="shared" si="36"/>
        <v/>
      </c>
      <c r="I297" s="30"/>
    </row>
    <row r="298" ht="18.75" customHeight="1">
      <c r="A298" s="31"/>
      <c r="B298" s="31"/>
      <c r="C298" s="31"/>
      <c r="D298" s="31"/>
      <c r="E298" s="31"/>
      <c r="F298" s="31"/>
      <c r="G298" s="31"/>
      <c r="H298" s="23" t="str">
        <f t="shared" si="36"/>
        <v/>
      </c>
      <c r="I298" s="31"/>
    </row>
    <row r="299" ht="18.75" customHeight="1">
      <c r="A299" s="30"/>
      <c r="B299" s="30"/>
      <c r="C299" s="30"/>
      <c r="D299" s="30"/>
      <c r="E299" s="30"/>
      <c r="F299" s="30"/>
      <c r="G299" s="30"/>
      <c r="H299" s="27" t="str">
        <f t="shared" si="36"/>
        <v/>
      </c>
      <c r="I299" s="30"/>
    </row>
    <row r="300" ht="18.75" customHeight="1">
      <c r="A300" s="31"/>
      <c r="B300" s="31"/>
      <c r="C300" s="31"/>
      <c r="D300" s="31"/>
      <c r="E300" s="31"/>
      <c r="F300" s="31"/>
      <c r="G300" s="31"/>
      <c r="H300" s="23" t="str">
        <f t="shared" si="36"/>
        <v/>
      </c>
      <c r="I300" s="31"/>
    </row>
    <row r="301" ht="18.75" customHeight="1">
      <c r="A301" s="30"/>
      <c r="B301" s="30"/>
      <c r="C301" s="30"/>
      <c r="D301" s="30"/>
      <c r="E301" s="30"/>
      <c r="F301" s="30"/>
      <c r="G301" s="30"/>
      <c r="H301" s="27" t="str">
        <f t="shared" si="36"/>
        <v/>
      </c>
      <c r="I301" s="30"/>
    </row>
    <row r="302" ht="18.75" customHeight="1">
      <c r="A302" s="31"/>
      <c r="B302" s="31"/>
      <c r="C302" s="31"/>
      <c r="D302" s="31"/>
      <c r="E302" s="31"/>
      <c r="F302" s="31"/>
      <c r="G302" s="31"/>
      <c r="H302" s="23"/>
      <c r="I302" s="31"/>
    </row>
    <row r="303" ht="18.75" customHeight="1">
      <c r="A303" s="30"/>
      <c r="B303" s="30"/>
      <c r="C303" s="30"/>
      <c r="D303" s="30"/>
      <c r="E303" s="30"/>
      <c r="F303" s="30"/>
      <c r="G303" s="30"/>
      <c r="H303" s="27" t="str">
        <f t="shared" ref="H303:H309" si="37">IF(AND(F303="", G303=""), "", SUM($F$12:F303)-SUM($G$12:G303))</f>
        <v/>
      </c>
      <c r="I303" s="30"/>
    </row>
    <row r="304" ht="18.75" customHeight="1">
      <c r="A304" s="31"/>
      <c r="B304" s="31"/>
      <c r="C304" s="31"/>
      <c r="D304" s="31"/>
      <c r="E304" s="31"/>
      <c r="F304" s="31"/>
      <c r="G304" s="31"/>
      <c r="H304" s="23" t="str">
        <f t="shared" si="37"/>
        <v/>
      </c>
      <c r="I304" s="31"/>
    </row>
    <row r="305" ht="18.75" customHeight="1">
      <c r="A305" s="30"/>
      <c r="B305" s="30"/>
      <c r="C305" s="30"/>
      <c r="D305" s="30"/>
      <c r="E305" s="30"/>
      <c r="F305" s="30"/>
      <c r="G305" s="30"/>
      <c r="H305" s="27" t="str">
        <f t="shared" si="37"/>
        <v/>
      </c>
      <c r="I305" s="30"/>
    </row>
    <row r="306" ht="18.75" customHeight="1">
      <c r="A306" s="31"/>
      <c r="B306" s="31"/>
      <c r="C306" s="31"/>
      <c r="D306" s="31"/>
      <c r="E306" s="31"/>
      <c r="F306" s="31"/>
      <c r="G306" s="31"/>
      <c r="H306" s="23" t="str">
        <f t="shared" si="37"/>
        <v/>
      </c>
      <c r="I306" s="31"/>
    </row>
    <row r="307" ht="18.75" customHeight="1">
      <c r="A307" s="30"/>
      <c r="B307" s="30"/>
      <c r="C307" s="30"/>
      <c r="D307" s="30"/>
      <c r="E307" s="30"/>
      <c r="F307" s="30"/>
      <c r="G307" s="30"/>
      <c r="H307" s="27" t="str">
        <f t="shared" si="37"/>
        <v/>
      </c>
      <c r="I307" s="30"/>
    </row>
    <row r="308" ht="18.75" customHeight="1">
      <c r="A308" s="31"/>
      <c r="B308" s="31"/>
      <c r="C308" s="31"/>
      <c r="D308" s="31"/>
      <c r="E308" s="31"/>
      <c r="F308" s="31"/>
      <c r="G308" s="31"/>
      <c r="H308" s="23" t="str">
        <f t="shared" si="37"/>
        <v/>
      </c>
      <c r="I308" s="31"/>
    </row>
    <row r="309" ht="18.75" customHeight="1">
      <c r="A309" s="30"/>
      <c r="B309" s="30"/>
      <c r="C309" s="30"/>
      <c r="D309" s="30"/>
      <c r="E309" s="30"/>
      <c r="F309" s="30"/>
      <c r="G309" s="30"/>
      <c r="H309" s="27" t="str">
        <f t="shared" si="37"/>
        <v/>
      </c>
      <c r="I309" s="30"/>
    </row>
    <row r="310" ht="18.75" customHeight="1">
      <c r="A310" s="31"/>
      <c r="B310" s="31"/>
      <c r="C310" s="31"/>
      <c r="D310" s="31"/>
      <c r="E310" s="31"/>
      <c r="F310" s="31"/>
      <c r="G310" s="31"/>
      <c r="H310" s="23"/>
      <c r="I310" s="31"/>
    </row>
    <row r="311" ht="18.75" customHeight="1">
      <c r="A311" s="30"/>
      <c r="B311" s="30"/>
      <c r="C311" s="30"/>
      <c r="D311" s="30"/>
      <c r="E311" s="30"/>
      <c r="F311" s="30"/>
      <c r="G311" s="30"/>
      <c r="H311" s="27" t="str">
        <f t="shared" ref="H311:H317" si="38">IF(AND(F311="", G311=""), "", SUM($F$12:F311)-SUM($G$12:G311))</f>
        <v/>
      </c>
      <c r="I311" s="30"/>
    </row>
    <row r="312" ht="18.75" customHeight="1">
      <c r="A312" s="31"/>
      <c r="B312" s="31"/>
      <c r="C312" s="31"/>
      <c r="D312" s="31"/>
      <c r="E312" s="31"/>
      <c r="F312" s="31"/>
      <c r="G312" s="31"/>
      <c r="H312" s="23" t="str">
        <f t="shared" si="38"/>
        <v/>
      </c>
      <c r="I312" s="31"/>
    </row>
    <row r="313" ht="18.75" customHeight="1">
      <c r="A313" s="30"/>
      <c r="B313" s="30"/>
      <c r="C313" s="30"/>
      <c r="D313" s="30"/>
      <c r="E313" s="30"/>
      <c r="F313" s="30"/>
      <c r="G313" s="30"/>
      <c r="H313" s="27" t="str">
        <f t="shared" si="38"/>
        <v/>
      </c>
      <c r="I313" s="30"/>
    </row>
    <row r="314" ht="18.75" customHeight="1">
      <c r="A314" s="31"/>
      <c r="B314" s="31"/>
      <c r="C314" s="31"/>
      <c r="D314" s="31"/>
      <c r="E314" s="31"/>
      <c r="F314" s="31"/>
      <c r="G314" s="31"/>
      <c r="H314" s="23" t="str">
        <f t="shared" si="38"/>
        <v/>
      </c>
      <c r="I314" s="31"/>
    </row>
    <row r="315" ht="18.75" customHeight="1">
      <c r="A315" s="30"/>
      <c r="B315" s="30"/>
      <c r="C315" s="30"/>
      <c r="D315" s="30"/>
      <c r="E315" s="30"/>
      <c r="F315" s="30"/>
      <c r="G315" s="30"/>
      <c r="H315" s="27" t="str">
        <f t="shared" si="38"/>
        <v/>
      </c>
      <c r="I315" s="30"/>
    </row>
    <row r="316" ht="18.75" customHeight="1">
      <c r="A316" s="31"/>
      <c r="B316" s="31"/>
      <c r="C316" s="31"/>
      <c r="D316" s="31"/>
      <c r="E316" s="31"/>
      <c r="F316" s="31"/>
      <c r="G316" s="31"/>
      <c r="H316" s="23" t="str">
        <f t="shared" si="38"/>
        <v/>
      </c>
      <c r="I316" s="31"/>
    </row>
    <row r="317" ht="18.75" customHeight="1">
      <c r="A317" s="30"/>
      <c r="B317" s="30"/>
      <c r="C317" s="30"/>
      <c r="D317" s="30"/>
      <c r="E317" s="30"/>
      <c r="F317" s="30"/>
      <c r="G317" s="30"/>
      <c r="H317" s="27" t="str">
        <f t="shared" si="38"/>
        <v/>
      </c>
      <c r="I317" s="30"/>
    </row>
    <row r="318" ht="18.75" customHeight="1">
      <c r="A318" s="31"/>
      <c r="B318" s="31"/>
      <c r="C318" s="31"/>
      <c r="D318" s="31"/>
      <c r="E318" s="31"/>
      <c r="F318" s="31"/>
      <c r="G318" s="31"/>
      <c r="H318" s="23"/>
      <c r="I318" s="31"/>
    </row>
    <row r="319" ht="18.75" customHeight="1">
      <c r="A319" s="30"/>
      <c r="B319" s="30"/>
      <c r="C319" s="30"/>
      <c r="D319" s="30"/>
      <c r="E319" s="30"/>
      <c r="F319" s="30"/>
      <c r="G319" s="30"/>
      <c r="H319" s="27" t="str">
        <f t="shared" ref="H319:H325" si="39">IF(AND(F319="", G319=""), "", SUM($F$12:F319)-SUM($G$12:G319))</f>
        <v/>
      </c>
      <c r="I319" s="30"/>
    </row>
    <row r="320" ht="18.75" customHeight="1">
      <c r="A320" s="31"/>
      <c r="B320" s="31"/>
      <c r="C320" s="31"/>
      <c r="D320" s="31"/>
      <c r="E320" s="31"/>
      <c r="F320" s="31"/>
      <c r="G320" s="31"/>
      <c r="H320" s="23" t="str">
        <f t="shared" si="39"/>
        <v/>
      </c>
      <c r="I320" s="31"/>
    </row>
    <row r="321" ht="18.75" customHeight="1">
      <c r="A321" s="30"/>
      <c r="B321" s="30"/>
      <c r="C321" s="30"/>
      <c r="D321" s="30"/>
      <c r="E321" s="30"/>
      <c r="F321" s="30"/>
      <c r="G321" s="30"/>
      <c r="H321" s="27" t="str">
        <f t="shared" si="39"/>
        <v/>
      </c>
      <c r="I321" s="30"/>
    </row>
    <row r="322" ht="18.75" customHeight="1">
      <c r="A322" s="31"/>
      <c r="B322" s="31"/>
      <c r="C322" s="31"/>
      <c r="D322" s="31"/>
      <c r="E322" s="31"/>
      <c r="F322" s="31"/>
      <c r="G322" s="31"/>
      <c r="H322" s="23" t="str">
        <f t="shared" si="39"/>
        <v/>
      </c>
      <c r="I322" s="31"/>
    </row>
    <row r="323" ht="18.75" customHeight="1">
      <c r="A323" s="30"/>
      <c r="B323" s="30"/>
      <c r="C323" s="30"/>
      <c r="D323" s="30"/>
      <c r="E323" s="30"/>
      <c r="F323" s="30"/>
      <c r="G323" s="30"/>
      <c r="H323" s="27" t="str">
        <f t="shared" si="39"/>
        <v/>
      </c>
      <c r="I323" s="30"/>
    </row>
    <row r="324" ht="18.75" customHeight="1">
      <c r="A324" s="31"/>
      <c r="B324" s="31"/>
      <c r="C324" s="31"/>
      <c r="D324" s="31"/>
      <c r="E324" s="31"/>
      <c r="F324" s="31"/>
      <c r="G324" s="31"/>
      <c r="H324" s="23" t="str">
        <f t="shared" si="39"/>
        <v/>
      </c>
      <c r="I324" s="31"/>
    </row>
    <row r="325" ht="18.75" customHeight="1">
      <c r="A325" s="30"/>
      <c r="B325" s="30"/>
      <c r="C325" s="30"/>
      <c r="D325" s="30"/>
      <c r="E325" s="30"/>
      <c r="F325" s="30"/>
      <c r="G325" s="30"/>
      <c r="H325" s="27" t="str">
        <f t="shared" si="39"/>
        <v/>
      </c>
      <c r="I325" s="30"/>
    </row>
    <row r="326" ht="18.75" customHeight="1">
      <c r="A326" s="31"/>
      <c r="B326" s="31"/>
      <c r="C326" s="31"/>
      <c r="D326" s="31"/>
      <c r="E326" s="31"/>
      <c r="F326" s="31"/>
      <c r="G326" s="31"/>
      <c r="H326" s="23"/>
      <c r="I326" s="31"/>
    </row>
    <row r="327" ht="18.75" customHeight="1">
      <c r="A327" s="30"/>
      <c r="B327" s="30"/>
      <c r="C327" s="30"/>
      <c r="D327" s="30"/>
      <c r="E327" s="30"/>
      <c r="F327" s="30"/>
      <c r="G327" s="30"/>
      <c r="H327" s="27" t="str">
        <f t="shared" ref="H327:H344" si="40">IF(AND(F327="", G327=""), "", SUM($F$12:F327)-SUM($G$12:G327))</f>
        <v/>
      </c>
      <c r="I327" s="30"/>
    </row>
    <row r="328" ht="18.75" customHeight="1">
      <c r="A328" s="31"/>
      <c r="B328" s="31"/>
      <c r="C328" s="31"/>
      <c r="D328" s="31"/>
      <c r="E328" s="31"/>
      <c r="F328" s="31"/>
      <c r="G328" s="31"/>
      <c r="H328" s="23" t="str">
        <f t="shared" si="40"/>
        <v/>
      </c>
      <c r="I328" s="31"/>
    </row>
    <row r="329" ht="18.75" customHeight="1">
      <c r="A329" s="30"/>
      <c r="B329" s="30"/>
      <c r="C329" s="30"/>
      <c r="D329" s="30"/>
      <c r="E329" s="30"/>
      <c r="F329" s="30"/>
      <c r="G329" s="30"/>
      <c r="H329" s="27" t="str">
        <f t="shared" si="40"/>
        <v/>
      </c>
      <c r="I329" s="30"/>
    </row>
    <row r="330" ht="18.75" customHeight="1">
      <c r="A330" s="31"/>
      <c r="B330" s="31"/>
      <c r="C330" s="31"/>
      <c r="D330" s="31"/>
      <c r="E330" s="31"/>
      <c r="F330" s="31"/>
      <c r="G330" s="31"/>
      <c r="H330" s="23" t="str">
        <f t="shared" si="40"/>
        <v/>
      </c>
      <c r="I330" s="31"/>
    </row>
    <row r="331" ht="18.75" customHeight="1">
      <c r="A331" s="30"/>
      <c r="B331" s="30"/>
      <c r="C331" s="30"/>
      <c r="D331" s="30"/>
      <c r="E331" s="30"/>
      <c r="F331" s="30"/>
      <c r="G331" s="30"/>
      <c r="H331" s="27" t="str">
        <f t="shared" si="40"/>
        <v/>
      </c>
      <c r="I331" s="30"/>
    </row>
    <row r="332" ht="18.75" customHeight="1">
      <c r="A332" s="31"/>
      <c r="B332" s="31"/>
      <c r="C332" s="31"/>
      <c r="D332" s="31"/>
      <c r="E332" s="31"/>
      <c r="F332" s="31"/>
      <c r="G332" s="31"/>
      <c r="H332" s="23" t="str">
        <f t="shared" si="40"/>
        <v/>
      </c>
      <c r="I332" s="31"/>
    </row>
    <row r="333" ht="18.75" customHeight="1">
      <c r="A333" s="30"/>
      <c r="B333" s="30"/>
      <c r="C333" s="30"/>
      <c r="D333" s="30"/>
      <c r="E333" s="30"/>
      <c r="F333" s="30"/>
      <c r="G333" s="30"/>
      <c r="H333" s="27" t="str">
        <f t="shared" si="40"/>
        <v/>
      </c>
      <c r="I333" s="30"/>
    </row>
    <row r="334" ht="18.75" customHeight="1">
      <c r="A334" s="31"/>
      <c r="B334" s="31"/>
      <c r="C334" s="31"/>
      <c r="D334" s="31"/>
      <c r="E334" s="31"/>
      <c r="F334" s="31"/>
      <c r="G334" s="31"/>
      <c r="H334" s="23" t="str">
        <f t="shared" si="40"/>
        <v/>
      </c>
      <c r="I334" s="31"/>
    </row>
    <row r="335" ht="18.75" customHeight="1">
      <c r="A335" s="30"/>
      <c r="B335" s="30"/>
      <c r="C335" s="30"/>
      <c r="D335" s="30"/>
      <c r="E335" s="30"/>
      <c r="F335" s="30"/>
      <c r="G335" s="30"/>
      <c r="H335" s="27" t="str">
        <f t="shared" si="40"/>
        <v/>
      </c>
      <c r="I335" s="30"/>
    </row>
    <row r="336" ht="18.75" customHeight="1">
      <c r="A336" s="31"/>
      <c r="B336" s="31"/>
      <c r="C336" s="31"/>
      <c r="D336" s="31"/>
      <c r="E336" s="31"/>
      <c r="F336" s="31"/>
      <c r="G336" s="31"/>
      <c r="H336" s="23" t="str">
        <f t="shared" si="40"/>
        <v/>
      </c>
      <c r="I336" s="31"/>
    </row>
    <row r="337" ht="18.75" customHeight="1">
      <c r="A337" s="30"/>
      <c r="B337" s="30"/>
      <c r="C337" s="30"/>
      <c r="D337" s="30"/>
      <c r="E337" s="30"/>
      <c r="F337" s="30"/>
      <c r="G337" s="30"/>
      <c r="H337" s="27" t="str">
        <f t="shared" si="40"/>
        <v/>
      </c>
      <c r="I337" s="30"/>
    </row>
    <row r="338" ht="18.75" customHeight="1">
      <c r="A338" s="31"/>
      <c r="B338" s="31"/>
      <c r="C338" s="31"/>
      <c r="D338" s="31"/>
      <c r="E338" s="31"/>
      <c r="F338" s="31"/>
      <c r="G338" s="31"/>
      <c r="H338" s="23" t="str">
        <f t="shared" si="40"/>
        <v/>
      </c>
      <c r="I338" s="31"/>
    </row>
    <row r="339" ht="18.75" customHeight="1">
      <c r="A339" s="30"/>
      <c r="B339" s="30"/>
      <c r="C339" s="30"/>
      <c r="D339" s="30"/>
      <c r="E339" s="30"/>
      <c r="F339" s="30"/>
      <c r="G339" s="30"/>
      <c r="H339" s="27" t="str">
        <f t="shared" si="40"/>
        <v/>
      </c>
      <c r="I339" s="30"/>
    </row>
    <row r="340" ht="18.75" customHeight="1">
      <c r="A340" s="31"/>
      <c r="B340" s="31"/>
      <c r="C340" s="31"/>
      <c r="D340" s="31"/>
      <c r="E340" s="31"/>
      <c r="F340" s="31"/>
      <c r="G340" s="31"/>
      <c r="H340" s="23" t="str">
        <f t="shared" si="40"/>
        <v/>
      </c>
      <c r="I340" s="31"/>
    </row>
    <row r="341" ht="18.75" customHeight="1">
      <c r="A341" s="30"/>
      <c r="B341" s="30"/>
      <c r="C341" s="30"/>
      <c r="D341" s="30"/>
      <c r="E341" s="30"/>
      <c r="F341" s="30"/>
      <c r="G341" s="30"/>
      <c r="H341" s="27" t="str">
        <f t="shared" si="40"/>
        <v/>
      </c>
      <c r="I341" s="30"/>
    </row>
    <row r="342" ht="18.75" customHeight="1">
      <c r="A342" s="31"/>
      <c r="B342" s="31"/>
      <c r="C342" s="31"/>
      <c r="D342" s="31"/>
      <c r="E342" s="31"/>
      <c r="F342" s="31"/>
      <c r="G342" s="31"/>
      <c r="H342" s="23" t="str">
        <f t="shared" si="40"/>
        <v/>
      </c>
      <c r="I342" s="31"/>
    </row>
    <row r="343" ht="18.75" customHeight="1">
      <c r="A343" s="30"/>
      <c r="B343" s="30"/>
      <c r="C343" s="30"/>
      <c r="D343" s="30"/>
      <c r="E343" s="30"/>
      <c r="F343" s="30"/>
      <c r="G343" s="30"/>
      <c r="H343" s="27" t="str">
        <f t="shared" si="40"/>
        <v/>
      </c>
      <c r="I343" s="30"/>
    </row>
    <row r="344" ht="18.75" customHeight="1">
      <c r="A344" s="31"/>
      <c r="B344" s="31"/>
      <c r="C344" s="31"/>
      <c r="D344" s="31"/>
      <c r="E344" s="31"/>
      <c r="F344" s="31"/>
      <c r="G344" s="31"/>
      <c r="H344" s="23" t="str">
        <f t="shared" si="40"/>
        <v/>
      </c>
      <c r="I344" s="31"/>
    </row>
    <row r="345" ht="24.0" customHeight="1">
      <c r="A345" s="37" t="s">
        <v>71</v>
      </c>
      <c r="B345" s="38"/>
      <c r="C345" s="38"/>
      <c r="D345" s="38"/>
      <c r="E345" s="39"/>
      <c r="F345" s="40">
        <f t="shared" ref="F345:G345" si="41">SUM(F12:F344)</f>
        <v>300000</v>
      </c>
      <c r="G345" s="40">
        <f t="shared" si="41"/>
        <v>0</v>
      </c>
      <c r="H345" s="40">
        <f>F345-G345</f>
        <v>300000</v>
      </c>
      <c r="I345" s="49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9:C9"/>
    <mergeCell ref="A345:E345"/>
    <mergeCell ref="A1:I1"/>
    <mergeCell ref="A2:I2"/>
    <mergeCell ref="B4:C4"/>
    <mergeCell ref="B5:C5"/>
    <mergeCell ref="B6:C6"/>
    <mergeCell ref="B7:C7"/>
    <mergeCell ref="B8:C8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22.0"/>
    <col customWidth="1" min="4" max="4" width="37.0"/>
    <col customWidth="1" min="5" max="5" width="20.0"/>
    <col customWidth="1" min="6" max="6" width="18.0"/>
    <col customWidth="1" min="7" max="7" width="20.0"/>
    <col customWidth="1" min="8" max="9" width="18.0"/>
    <col customWidth="1" min="10" max="26" width="8.71"/>
  </cols>
  <sheetData>
    <row r="1" ht="27.75" customHeight="1">
      <c r="A1" s="1" t="s">
        <v>69</v>
      </c>
      <c r="B1" s="2"/>
      <c r="C1" s="2"/>
      <c r="D1" s="2"/>
      <c r="E1" s="2"/>
      <c r="F1" s="2"/>
      <c r="G1" s="2"/>
      <c r="H1" s="2"/>
      <c r="I1" s="4"/>
    </row>
    <row r="2" ht="18.0" customHeight="1">
      <c r="A2" s="5" t="s">
        <v>70</v>
      </c>
      <c r="B2" s="2"/>
      <c r="C2" s="2"/>
      <c r="D2" s="2"/>
      <c r="E2" s="2"/>
      <c r="F2" s="2"/>
      <c r="G2" s="2"/>
      <c r="H2" s="2"/>
      <c r="I2" s="4"/>
    </row>
    <row r="4" ht="19.5" customHeight="1">
      <c r="B4" s="6" t="s">
        <v>8</v>
      </c>
      <c r="C4" s="7"/>
      <c r="D4" s="9">
        <f>F345</f>
        <v>1000000</v>
      </c>
    </row>
    <row r="5" ht="19.5" customHeight="1">
      <c r="B5" s="6" t="s">
        <v>12</v>
      </c>
      <c r="C5" s="7"/>
      <c r="D5" s="9">
        <f>G345</f>
        <v>0</v>
      </c>
    </row>
    <row r="6" ht="19.5" customHeight="1">
      <c r="B6" s="11" t="s">
        <v>13</v>
      </c>
      <c r="C6" s="7"/>
      <c r="D6" s="12">
        <f>D4-D5</f>
        <v>1000000</v>
      </c>
    </row>
    <row r="7" ht="19.5" customHeight="1">
      <c r="B7" s="11" t="s">
        <v>15</v>
      </c>
      <c r="C7" s="7"/>
      <c r="D7" s="14">
        <f>Resume!G17</f>
        <v>1000000</v>
      </c>
    </row>
    <row r="8" ht="19.5" customHeight="1">
      <c r="B8" s="11" t="s">
        <v>17</v>
      </c>
      <c r="C8" s="7"/>
      <c r="D8" s="15">
        <f>D7-D6</f>
        <v>0</v>
      </c>
    </row>
    <row r="9" ht="19.5" customHeight="1">
      <c r="B9" s="11" t="s">
        <v>18</v>
      </c>
      <c r="C9" s="7"/>
      <c r="D9" s="16" t="str">
        <f>IF(D8=0, "✅ PAS / KLOP (Uang Fisik Sesuai)", IF(D8&lt;0, "❌ FISIK TEKOR / KURANG " &amp; TEXT(ABS(D8), "Rp #,##0"), "⚠️ FISIK LEBIH"))</f>
        <v>✅ PAS / KLOP (Uang Fisik Sesuai)</v>
      </c>
    </row>
    <row r="11" ht="25.5" customHeight="1">
      <c r="A11" s="17" t="s">
        <v>21</v>
      </c>
      <c r="B11" s="17" t="s">
        <v>22</v>
      </c>
      <c r="C11" s="17" t="s">
        <v>23</v>
      </c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29</v>
      </c>
      <c r="I11" s="17" t="s">
        <v>30</v>
      </c>
    </row>
    <row r="12" ht="19.5" customHeight="1">
      <c r="A12" s="18">
        <v>1.0</v>
      </c>
      <c r="B12" s="18" t="s">
        <v>31</v>
      </c>
      <c r="C12" s="18" t="s">
        <v>33</v>
      </c>
      <c r="D12" s="19" t="s">
        <v>35</v>
      </c>
      <c r="E12" s="20" t="s">
        <v>38</v>
      </c>
      <c r="F12" s="21">
        <v>1000000.0</v>
      </c>
      <c r="G12" s="23"/>
      <c r="H12" s="22">
        <f t="shared" ref="H12:H21" si="1">IF(AND(F12="", G12=""), "", SUM($F$12:F12)-SUM($G$12:G12))</f>
        <v>1000000</v>
      </c>
      <c r="I12" s="20" t="s">
        <v>41</v>
      </c>
    </row>
    <row r="13" ht="18.75" customHeight="1">
      <c r="A13" s="30"/>
      <c r="B13" s="30"/>
      <c r="C13" s="30"/>
      <c r="D13" s="30"/>
      <c r="E13" s="30"/>
      <c r="F13" s="30"/>
      <c r="G13" s="30"/>
      <c r="H13" s="27" t="str">
        <f t="shared" si="1"/>
        <v/>
      </c>
      <c r="I13" s="30"/>
    </row>
    <row r="14" ht="18.75" customHeight="1">
      <c r="A14" s="31"/>
      <c r="B14" s="31"/>
      <c r="C14" s="31"/>
      <c r="D14" s="31"/>
      <c r="E14" s="31"/>
      <c r="F14" s="31"/>
      <c r="G14" s="31"/>
      <c r="H14" s="23" t="str">
        <f t="shared" si="1"/>
        <v/>
      </c>
      <c r="I14" s="31"/>
    </row>
    <row r="15" ht="18.75" customHeight="1">
      <c r="A15" s="30"/>
      <c r="B15" s="30"/>
      <c r="C15" s="30"/>
      <c r="D15" s="30"/>
      <c r="E15" s="30"/>
      <c r="F15" s="30"/>
      <c r="G15" s="30"/>
      <c r="H15" s="27" t="str">
        <f t="shared" si="1"/>
        <v/>
      </c>
      <c r="I15" s="30"/>
    </row>
    <row r="16" ht="18.75" customHeight="1">
      <c r="A16" s="31"/>
      <c r="B16" s="31"/>
      <c r="C16" s="31"/>
      <c r="D16" s="31"/>
      <c r="E16" s="31"/>
      <c r="F16" s="31"/>
      <c r="G16" s="31"/>
      <c r="H16" s="23" t="str">
        <f t="shared" si="1"/>
        <v/>
      </c>
      <c r="I16" s="31"/>
    </row>
    <row r="17" ht="18.75" customHeight="1">
      <c r="A17" s="30"/>
      <c r="B17" s="30"/>
      <c r="C17" s="30"/>
      <c r="D17" s="30"/>
      <c r="E17" s="30"/>
      <c r="F17" s="30"/>
      <c r="G17" s="30"/>
      <c r="H17" s="27" t="str">
        <f t="shared" si="1"/>
        <v/>
      </c>
      <c r="I17" s="30"/>
    </row>
    <row r="18" ht="18.75" customHeight="1">
      <c r="A18" s="31"/>
      <c r="B18" s="31"/>
      <c r="C18" s="31"/>
      <c r="D18" s="31"/>
      <c r="E18" s="31"/>
      <c r="F18" s="31"/>
      <c r="G18" s="31"/>
      <c r="H18" s="23" t="str">
        <f t="shared" si="1"/>
        <v/>
      </c>
      <c r="I18" s="31"/>
    </row>
    <row r="19" ht="18.75" customHeight="1">
      <c r="A19" s="30"/>
      <c r="B19" s="30"/>
      <c r="C19" s="30"/>
      <c r="D19" s="30"/>
      <c r="E19" s="30"/>
      <c r="F19" s="30"/>
      <c r="G19" s="30"/>
      <c r="H19" s="27" t="str">
        <f t="shared" si="1"/>
        <v/>
      </c>
      <c r="I19" s="30"/>
    </row>
    <row r="20" ht="18.75" customHeight="1">
      <c r="A20" s="31"/>
      <c r="B20" s="31"/>
      <c r="C20" s="31"/>
      <c r="D20" s="31"/>
      <c r="E20" s="31"/>
      <c r="F20" s="31"/>
      <c r="G20" s="31"/>
      <c r="H20" s="23" t="str">
        <f t="shared" si="1"/>
        <v/>
      </c>
      <c r="I20" s="31"/>
    </row>
    <row r="21" ht="18.75" customHeight="1">
      <c r="A21" s="30"/>
      <c r="B21" s="30"/>
      <c r="C21" s="30"/>
      <c r="D21" s="30"/>
      <c r="E21" s="30"/>
      <c r="F21" s="30"/>
      <c r="G21" s="30"/>
      <c r="H21" s="27" t="str">
        <f t="shared" si="1"/>
        <v/>
      </c>
      <c r="I21" s="30"/>
    </row>
    <row r="22" ht="18.75" customHeight="1">
      <c r="A22" s="31"/>
      <c r="B22" s="31"/>
      <c r="C22" s="31"/>
      <c r="D22" s="31"/>
      <c r="E22" s="31"/>
      <c r="F22" s="31"/>
      <c r="G22" s="31"/>
      <c r="H22" s="23"/>
      <c r="I22" s="31"/>
    </row>
    <row r="23" ht="18.75" customHeight="1">
      <c r="A23" s="30"/>
      <c r="B23" s="30"/>
      <c r="C23" s="30"/>
      <c r="D23" s="30"/>
      <c r="E23" s="30"/>
      <c r="F23" s="30"/>
      <c r="G23" s="30"/>
      <c r="H23" s="27" t="str">
        <f t="shared" ref="H23:H29" si="2">IF(AND(F23="", G23=""), "", SUM($F$12:F23)-SUM($G$12:G23))</f>
        <v/>
      </c>
      <c r="I23" s="30"/>
    </row>
    <row r="24" ht="18.75" customHeight="1">
      <c r="A24" s="31"/>
      <c r="B24" s="31"/>
      <c r="C24" s="31"/>
      <c r="D24" s="31"/>
      <c r="E24" s="31"/>
      <c r="F24" s="31"/>
      <c r="G24" s="31"/>
      <c r="H24" s="23" t="str">
        <f t="shared" si="2"/>
        <v/>
      </c>
      <c r="I24" s="31"/>
    </row>
    <row r="25" ht="18.75" customHeight="1">
      <c r="A25" s="30"/>
      <c r="B25" s="30"/>
      <c r="C25" s="30"/>
      <c r="D25" s="30"/>
      <c r="E25" s="30"/>
      <c r="F25" s="30"/>
      <c r="G25" s="30"/>
      <c r="H25" s="27" t="str">
        <f t="shared" si="2"/>
        <v/>
      </c>
      <c r="I25" s="30"/>
    </row>
    <row r="26" ht="18.75" customHeight="1">
      <c r="A26" s="31"/>
      <c r="B26" s="31"/>
      <c r="C26" s="31"/>
      <c r="D26" s="31"/>
      <c r="E26" s="31"/>
      <c r="F26" s="31"/>
      <c r="G26" s="31"/>
      <c r="H26" s="23" t="str">
        <f t="shared" si="2"/>
        <v/>
      </c>
      <c r="I26" s="31"/>
    </row>
    <row r="27" ht="18.75" customHeight="1">
      <c r="A27" s="30"/>
      <c r="B27" s="30"/>
      <c r="C27" s="30"/>
      <c r="D27" s="30"/>
      <c r="E27" s="30"/>
      <c r="F27" s="30"/>
      <c r="G27" s="30"/>
      <c r="H27" s="27" t="str">
        <f t="shared" si="2"/>
        <v/>
      </c>
      <c r="I27" s="30"/>
    </row>
    <row r="28" ht="18.75" customHeight="1">
      <c r="A28" s="31"/>
      <c r="B28" s="31"/>
      <c r="C28" s="31"/>
      <c r="D28" s="31"/>
      <c r="E28" s="31"/>
      <c r="F28" s="31"/>
      <c r="G28" s="31"/>
      <c r="H28" s="23" t="str">
        <f t="shared" si="2"/>
        <v/>
      </c>
      <c r="I28" s="31"/>
    </row>
    <row r="29" ht="18.75" customHeight="1">
      <c r="A29" s="30"/>
      <c r="B29" s="30"/>
      <c r="C29" s="30"/>
      <c r="D29" s="30"/>
      <c r="E29" s="30"/>
      <c r="F29" s="30"/>
      <c r="G29" s="30"/>
      <c r="H29" s="27" t="str">
        <f t="shared" si="2"/>
        <v/>
      </c>
      <c r="I29" s="30"/>
    </row>
    <row r="30" ht="18.75" customHeight="1">
      <c r="A30" s="31"/>
      <c r="B30" s="31"/>
      <c r="C30" s="31"/>
      <c r="D30" s="31"/>
      <c r="E30" s="31"/>
      <c r="F30" s="31"/>
      <c r="G30" s="31"/>
      <c r="H30" s="23"/>
      <c r="I30" s="31"/>
    </row>
    <row r="31" ht="18.75" customHeight="1">
      <c r="A31" s="30"/>
      <c r="B31" s="30"/>
      <c r="C31" s="30"/>
      <c r="D31" s="30"/>
      <c r="E31" s="30"/>
      <c r="F31" s="30"/>
      <c r="G31" s="30"/>
      <c r="H31" s="27" t="str">
        <f t="shared" ref="H31:H37" si="3">IF(AND(F31="", G31=""), "", SUM($F$12:F31)-SUM($G$12:G31))</f>
        <v/>
      </c>
      <c r="I31" s="30"/>
    </row>
    <row r="32" ht="18.75" customHeight="1">
      <c r="A32" s="31"/>
      <c r="B32" s="31"/>
      <c r="C32" s="31"/>
      <c r="D32" s="31"/>
      <c r="E32" s="31"/>
      <c r="F32" s="31"/>
      <c r="G32" s="31"/>
      <c r="H32" s="23" t="str">
        <f t="shared" si="3"/>
        <v/>
      </c>
      <c r="I32" s="31"/>
    </row>
    <row r="33" ht="18.75" customHeight="1">
      <c r="A33" s="30"/>
      <c r="B33" s="30"/>
      <c r="C33" s="30"/>
      <c r="D33" s="30"/>
      <c r="E33" s="30"/>
      <c r="F33" s="30"/>
      <c r="G33" s="30"/>
      <c r="H33" s="27" t="str">
        <f t="shared" si="3"/>
        <v/>
      </c>
      <c r="I33" s="30"/>
    </row>
    <row r="34" ht="18.75" customHeight="1">
      <c r="A34" s="31"/>
      <c r="B34" s="31"/>
      <c r="C34" s="31"/>
      <c r="D34" s="31"/>
      <c r="E34" s="31"/>
      <c r="F34" s="31"/>
      <c r="G34" s="31"/>
      <c r="H34" s="23" t="str">
        <f t="shared" si="3"/>
        <v/>
      </c>
      <c r="I34" s="31"/>
    </row>
    <row r="35" ht="18.75" customHeight="1">
      <c r="A35" s="30"/>
      <c r="B35" s="30"/>
      <c r="C35" s="30"/>
      <c r="D35" s="30"/>
      <c r="E35" s="30"/>
      <c r="F35" s="30"/>
      <c r="G35" s="30"/>
      <c r="H35" s="27" t="str">
        <f t="shared" si="3"/>
        <v/>
      </c>
      <c r="I35" s="30"/>
    </row>
    <row r="36" ht="18.75" customHeight="1">
      <c r="A36" s="31"/>
      <c r="B36" s="31"/>
      <c r="C36" s="31"/>
      <c r="D36" s="31"/>
      <c r="E36" s="31"/>
      <c r="F36" s="31"/>
      <c r="G36" s="31"/>
      <c r="H36" s="23" t="str">
        <f t="shared" si="3"/>
        <v/>
      </c>
      <c r="I36" s="31"/>
    </row>
    <row r="37" ht="18.75" customHeight="1">
      <c r="A37" s="30"/>
      <c r="B37" s="30"/>
      <c r="C37" s="30"/>
      <c r="D37" s="30"/>
      <c r="E37" s="30"/>
      <c r="F37" s="30"/>
      <c r="G37" s="30"/>
      <c r="H37" s="27" t="str">
        <f t="shared" si="3"/>
        <v/>
      </c>
      <c r="I37" s="30"/>
    </row>
    <row r="38" ht="18.75" customHeight="1">
      <c r="A38" s="31"/>
      <c r="B38" s="31"/>
      <c r="C38" s="31"/>
      <c r="D38" s="31"/>
      <c r="E38" s="31"/>
      <c r="F38" s="31"/>
      <c r="G38" s="31"/>
      <c r="H38" s="23"/>
      <c r="I38" s="31"/>
    </row>
    <row r="39" ht="18.75" customHeight="1">
      <c r="A39" s="30"/>
      <c r="B39" s="30"/>
      <c r="C39" s="30"/>
      <c r="D39" s="30"/>
      <c r="E39" s="30"/>
      <c r="F39" s="30"/>
      <c r="G39" s="30"/>
      <c r="H39" s="27" t="str">
        <f t="shared" ref="H39:H45" si="4">IF(AND(F39="", G39=""), "", SUM($F$12:F39)-SUM($G$12:G39))</f>
        <v/>
      </c>
      <c r="I39" s="30"/>
    </row>
    <row r="40" ht="18.75" customHeight="1">
      <c r="A40" s="31"/>
      <c r="B40" s="31"/>
      <c r="C40" s="31"/>
      <c r="D40" s="31"/>
      <c r="E40" s="31"/>
      <c r="F40" s="31"/>
      <c r="G40" s="31"/>
      <c r="H40" s="23" t="str">
        <f t="shared" si="4"/>
        <v/>
      </c>
      <c r="I40" s="31"/>
    </row>
    <row r="41" ht="18.75" customHeight="1">
      <c r="A41" s="30"/>
      <c r="B41" s="30"/>
      <c r="C41" s="30"/>
      <c r="D41" s="30"/>
      <c r="E41" s="30"/>
      <c r="F41" s="30"/>
      <c r="G41" s="30"/>
      <c r="H41" s="27" t="str">
        <f t="shared" si="4"/>
        <v/>
      </c>
      <c r="I41" s="30"/>
    </row>
    <row r="42" ht="18.75" customHeight="1">
      <c r="A42" s="31"/>
      <c r="B42" s="31"/>
      <c r="C42" s="31"/>
      <c r="D42" s="31"/>
      <c r="E42" s="31"/>
      <c r="F42" s="31"/>
      <c r="G42" s="31"/>
      <c r="H42" s="23" t="str">
        <f t="shared" si="4"/>
        <v/>
      </c>
      <c r="I42" s="31"/>
    </row>
    <row r="43" ht="18.75" customHeight="1">
      <c r="A43" s="30"/>
      <c r="B43" s="30"/>
      <c r="C43" s="30"/>
      <c r="D43" s="30"/>
      <c r="E43" s="30"/>
      <c r="F43" s="30"/>
      <c r="G43" s="30"/>
      <c r="H43" s="27" t="str">
        <f t="shared" si="4"/>
        <v/>
      </c>
      <c r="I43" s="30"/>
    </row>
    <row r="44" ht="18.75" customHeight="1">
      <c r="A44" s="31"/>
      <c r="B44" s="31"/>
      <c r="C44" s="31"/>
      <c r="D44" s="31"/>
      <c r="E44" s="31"/>
      <c r="F44" s="31"/>
      <c r="G44" s="31"/>
      <c r="H44" s="23" t="str">
        <f t="shared" si="4"/>
        <v/>
      </c>
      <c r="I44" s="31"/>
    </row>
    <row r="45" ht="18.75" customHeight="1">
      <c r="A45" s="30"/>
      <c r="B45" s="30"/>
      <c r="C45" s="30"/>
      <c r="D45" s="30"/>
      <c r="E45" s="30"/>
      <c r="F45" s="30"/>
      <c r="G45" s="30"/>
      <c r="H45" s="27" t="str">
        <f t="shared" si="4"/>
        <v/>
      </c>
      <c r="I45" s="30"/>
    </row>
    <row r="46" ht="18.75" customHeight="1">
      <c r="A46" s="31"/>
      <c r="B46" s="31"/>
      <c r="C46" s="31"/>
      <c r="D46" s="31"/>
      <c r="E46" s="31"/>
      <c r="F46" s="31"/>
      <c r="G46" s="31"/>
      <c r="H46" s="23"/>
      <c r="I46" s="31"/>
    </row>
    <row r="47" ht="18.75" customHeight="1">
      <c r="A47" s="30"/>
      <c r="B47" s="30"/>
      <c r="C47" s="30"/>
      <c r="D47" s="30"/>
      <c r="E47" s="30"/>
      <c r="F47" s="30"/>
      <c r="G47" s="30"/>
      <c r="H47" s="27" t="str">
        <f t="shared" ref="H47:H53" si="5">IF(AND(F47="", G47=""), "", SUM($F$12:F47)-SUM($G$12:G47))</f>
        <v/>
      </c>
      <c r="I47" s="30"/>
    </row>
    <row r="48" ht="18.75" customHeight="1">
      <c r="A48" s="31"/>
      <c r="B48" s="31"/>
      <c r="C48" s="31"/>
      <c r="D48" s="31"/>
      <c r="E48" s="31"/>
      <c r="F48" s="31"/>
      <c r="G48" s="31"/>
      <c r="H48" s="23" t="str">
        <f t="shared" si="5"/>
        <v/>
      </c>
      <c r="I48" s="31"/>
    </row>
    <row r="49" ht="18.75" customHeight="1">
      <c r="A49" s="30"/>
      <c r="B49" s="30"/>
      <c r="C49" s="30"/>
      <c r="D49" s="30"/>
      <c r="E49" s="30"/>
      <c r="F49" s="30"/>
      <c r="G49" s="30"/>
      <c r="H49" s="27" t="str">
        <f t="shared" si="5"/>
        <v/>
      </c>
      <c r="I49" s="30"/>
    </row>
    <row r="50" ht="18.75" customHeight="1">
      <c r="A50" s="31"/>
      <c r="B50" s="31"/>
      <c r="C50" s="31"/>
      <c r="D50" s="31"/>
      <c r="E50" s="31"/>
      <c r="F50" s="31"/>
      <c r="G50" s="31"/>
      <c r="H50" s="23" t="str">
        <f t="shared" si="5"/>
        <v/>
      </c>
      <c r="I50" s="31"/>
    </row>
    <row r="51" ht="18.75" customHeight="1">
      <c r="A51" s="30"/>
      <c r="B51" s="30"/>
      <c r="C51" s="30"/>
      <c r="D51" s="30"/>
      <c r="E51" s="30"/>
      <c r="F51" s="30"/>
      <c r="G51" s="30"/>
      <c r="H51" s="27" t="str">
        <f t="shared" si="5"/>
        <v/>
      </c>
      <c r="I51" s="30"/>
    </row>
    <row r="52" ht="18.75" customHeight="1">
      <c r="A52" s="31"/>
      <c r="B52" s="31"/>
      <c r="C52" s="31"/>
      <c r="D52" s="31"/>
      <c r="E52" s="31"/>
      <c r="F52" s="31"/>
      <c r="G52" s="31"/>
      <c r="H52" s="23" t="str">
        <f t="shared" si="5"/>
        <v/>
      </c>
      <c r="I52" s="31"/>
    </row>
    <row r="53" ht="18.75" customHeight="1">
      <c r="A53" s="30"/>
      <c r="B53" s="30"/>
      <c r="C53" s="30"/>
      <c r="D53" s="30"/>
      <c r="E53" s="30"/>
      <c r="F53" s="30"/>
      <c r="G53" s="30"/>
      <c r="H53" s="27" t="str">
        <f t="shared" si="5"/>
        <v/>
      </c>
      <c r="I53" s="30"/>
    </row>
    <row r="54" ht="18.75" customHeight="1">
      <c r="A54" s="31"/>
      <c r="B54" s="31"/>
      <c r="C54" s="31"/>
      <c r="D54" s="31"/>
      <c r="E54" s="31"/>
      <c r="F54" s="31"/>
      <c r="G54" s="31"/>
      <c r="H54" s="23"/>
      <c r="I54" s="31"/>
    </row>
    <row r="55" ht="18.75" customHeight="1">
      <c r="A55" s="30"/>
      <c r="B55" s="30"/>
      <c r="C55" s="30"/>
      <c r="D55" s="30"/>
      <c r="E55" s="30"/>
      <c r="F55" s="30"/>
      <c r="G55" s="30"/>
      <c r="H55" s="27" t="str">
        <f t="shared" ref="H55:H61" si="6">IF(AND(F55="", G55=""), "", SUM($F$12:F55)-SUM($G$12:G55))</f>
        <v/>
      </c>
      <c r="I55" s="30"/>
    </row>
    <row r="56" ht="18.75" customHeight="1">
      <c r="A56" s="31"/>
      <c r="B56" s="31"/>
      <c r="C56" s="31"/>
      <c r="D56" s="31"/>
      <c r="E56" s="31"/>
      <c r="F56" s="31"/>
      <c r="G56" s="31"/>
      <c r="H56" s="23" t="str">
        <f t="shared" si="6"/>
        <v/>
      </c>
      <c r="I56" s="31"/>
    </row>
    <row r="57" ht="18.75" customHeight="1">
      <c r="A57" s="30"/>
      <c r="B57" s="30"/>
      <c r="C57" s="30"/>
      <c r="D57" s="30"/>
      <c r="E57" s="30"/>
      <c r="F57" s="30"/>
      <c r="G57" s="30"/>
      <c r="H57" s="27" t="str">
        <f t="shared" si="6"/>
        <v/>
      </c>
      <c r="I57" s="30"/>
    </row>
    <row r="58" ht="18.75" customHeight="1">
      <c r="A58" s="31"/>
      <c r="B58" s="31"/>
      <c r="C58" s="31"/>
      <c r="D58" s="31"/>
      <c r="E58" s="31"/>
      <c r="F58" s="31"/>
      <c r="G58" s="31"/>
      <c r="H58" s="23" t="str">
        <f t="shared" si="6"/>
        <v/>
      </c>
      <c r="I58" s="31"/>
    </row>
    <row r="59" ht="18.75" customHeight="1">
      <c r="A59" s="30"/>
      <c r="B59" s="30"/>
      <c r="C59" s="30"/>
      <c r="D59" s="30"/>
      <c r="E59" s="30"/>
      <c r="F59" s="30"/>
      <c r="G59" s="30"/>
      <c r="H59" s="27" t="str">
        <f t="shared" si="6"/>
        <v/>
      </c>
      <c r="I59" s="30"/>
    </row>
    <row r="60" ht="18.75" customHeight="1">
      <c r="A60" s="31"/>
      <c r="B60" s="31"/>
      <c r="C60" s="31"/>
      <c r="D60" s="31"/>
      <c r="E60" s="31"/>
      <c r="F60" s="31"/>
      <c r="G60" s="31"/>
      <c r="H60" s="23" t="str">
        <f t="shared" si="6"/>
        <v/>
      </c>
      <c r="I60" s="31"/>
    </row>
    <row r="61" ht="18.75" customHeight="1">
      <c r="A61" s="30"/>
      <c r="B61" s="30"/>
      <c r="C61" s="30"/>
      <c r="D61" s="30"/>
      <c r="E61" s="30"/>
      <c r="F61" s="30"/>
      <c r="G61" s="30"/>
      <c r="H61" s="27" t="str">
        <f t="shared" si="6"/>
        <v/>
      </c>
      <c r="I61" s="30"/>
    </row>
    <row r="62" ht="18.75" customHeight="1">
      <c r="A62" s="31"/>
      <c r="B62" s="31"/>
      <c r="C62" s="31"/>
      <c r="D62" s="31"/>
      <c r="E62" s="31"/>
      <c r="F62" s="31"/>
      <c r="G62" s="31"/>
      <c r="H62" s="23"/>
      <c r="I62" s="31"/>
    </row>
    <row r="63" ht="18.75" customHeight="1">
      <c r="A63" s="30"/>
      <c r="B63" s="30"/>
      <c r="C63" s="30"/>
      <c r="D63" s="30"/>
      <c r="E63" s="30"/>
      <c r="F63" s="30"/>
      <c r="G63" s="30"/>
      <c r="H63" s="27" t="str">
        <f t="shared" ref="H63:H69" si="7">IF(AND(F63="", G63=""), "", SUM($F$12:F63)-SUM($G$12:G63))</f>
        <v/>
      </c>
      <c r="I63" s="30"/>
    </row>
    <row r="64" ht="18.75" customHeight="1">
      <c r="A64" s="31"/>
      <c r="B64" s="31"/>
      <c r="C64" s="31"/>
      <c r="D64" s="31"/>
      <c r="E64" s="31"/>
      <c r="F64" s="31"/>
      <c r="G64" s="31"/>
      <c r="H64" s="23" t="str">
        <f t="shared" si="7"/>
        <v/>
      </c>
      <c r="I64" s="31"/>
    </row>
    <row r="65" ht="18.75" customHeight="1">
      <c r="A65" s="30"/>
      <c r="B65" s="30"/>
      <c r="C65" s="30"/>
      <c r="D65" s="30"/>
      <c r="E65" s="30"/>
      <c r="F65" s="30"/>
      <c r="G65" s="30"/>
      <c r="H65" s="27" t="str">
        <f t="shared" si="7"/>
        <v/>
      </c>
      <c r="I65" s="30"/>
    </row>
    <row r="66" ht="18.75" customHeight="1">
      <c r="A66" s="31"/>
      <c r="B66" s="31"/>
      <c r="C66" s="31"/>
      <c r="D66" s="31"/>
      <c r="E66" s="31"/>
      <c r="F66" s="31"/>
      <c r="G66" s="31"/>
      <c r="H66" s="23" t="str">
        <f t="shared" si="7"/>
        <v/>
      </c>
      <c r="I66" s="31"/>
    </row>
    <row r="67" ht="18.75" customHeight="1">
      <c r="A67" s="30"/>
      <c r="B67" s="30"/>
      <c r="C67" s="30"/>
      <c r="D67" s="30"/>
      <c r="E67" s="30"/>
      <c r="F67" s="30"/>
      <c r="G67" s="30"/>
      <c r="H67" s="27" t="str">
        <f t="shared" si="7"/>
        <v/>
      </c>
      <c r="I67" s="30"/>
    </row>
    <row r="68" ht="18.75" customHeight="1">
      <c r="A68" s="31"/>
      <c r="B68" s="31"/>
      <c r="C68" s="31"/>
      <c r="D68" s="31"/>
      <c r="E68" s="31"/>
      <c r="F68" s="31"/>
      <c r="G68" s="31"/>
      <c r="H68" s="23" t="str">
        <f t="shared" si="7"/>
        <v/>
      </c>
      <c r="I68" s="31"/>
    </row>
    <row r="69" ht="18.75" customHeight="1">
      <c r="A69" s="30"/>
      <c r="B69" s="30"/>
      <c r="C69" s="30"/>
      <c r="D69" s="30"/>
      <c r="E69" s="30"/>
      <c r="F69" s="30"/>
      <c r="G69" s="30"/>
      <c r="H69" s="27" t="str">
        <f t="shared" si="7"/>
        <v/>
      </c>
      <c r="I69" s="30"/>
    </row>
    <row r="70" ht="18.75" customHeight="1">
      <c r="A70" s="31"/>
      <c r="B70" s="31"/>
      <c r="C70" s="31"/>
      <c r="D70" s="31"/>
      <c r="E70" s="31"/>
      <c r="F70" s="31"/>
      <c r="G70" s="31"/>
      <c r="H70" s="23"/>
      <c r="I70" s="31"/>
    </row>
    <row r="71" ht="18.75" customHeight="1">
      <c r="A71" s="30"/>
      <c r="B71" s="30"/>
      <c r="C71" s="30"/>
      <c r="D71" s="30"/>
      <c r="E71" s="30"/>
      <c r="F71" s="30"/>
      <c r="G71" s="30"/>
      <c r="H71" s="27" t="str">
        <f t="shared" ref="H71:H77" si="8">IF(AND(F71="", G71=""), "", SUM($F$12:F71)-SUM($G$12:G71))</f>
        <v/>
      </c>
      <c r="I71" s="30"/>
    </row>
    <row r="72" ht="18.75" customHeight="1">
      <c r="A72" s="31"/>
      <c r="B72" s="31"/>
      <c r="C72" s="31"/>
      <c r="D72" s="31"/>
      <c r="E72" s="31"/>
      <c r="F72" s="31"/>
      <c r="G72" s="31"/>
      <c r="H72" s="23" t="str">
        <f t="shared" si="8"/>
        <v/>
      </c>
      <c r="I72" s="31"/>
    </row>
    <row r="73" ht="18.75" customHeight="1">
      <c r="A73" s="30"/>
      <c r="B73" s="30"/>
      <c r="C73" s="30"/>
      <c r="D73" s="30"/>
      <c r="E73" s="30"/>
      <c r="F73" s="30"/>
      <c r="G73" s="30"/>
      <c r="H73" s="27" t="str">
        <f t="shared" si="8"/>
        <v/>
      </c>
      <c r="I73" s="30"/>
    </row>
    <row r="74" ht="18.75" customHeight="1">
      <c r="A74" s="31"/>
      <c r="B74" s="31"/>
      <c r="C74" s="31"/>
      <c r="D74" s="31"/>
      <c r="E74" s="31"/>
      <c r="F74" s="31"/>
      <c r="G74" s="31"/>
      <c r="H74" s="23" t="str">
        <f t="shared" si="8"/>
        <v/>
      </c>
      <c r="I74" s="31"/>
    </row>
    <row r="75" ht="18.75" customHeight="1">
      <c r="A75" s="30"/>
      <c r="B75" s="30"/>
      <c r="C75" s="30"/>
      <c r="D75" s="30"/>
      <c r="E75" s="30"/>
      <c r="F75" s="30"/>
      <c r="G75" s="30"/>
      <c r="H75" s="27" t="str">
        <f t="shared" si="8"/>
        <v/>
      </c>
      <c r="I75" s="30"/>
    </row>
    <row r="76" ht="18.75" customHeight="1">
      <c r="A76" s="31"/>
      <c r="B76" s="31"/>
      <c r="C76" s="31"/>
      <c r="D76" s="31"/>
      <c r="E76" s="31"/>
      <c r="F76" s="31"/>
      <c r="G76" s="31"/>
      <c r="H76" s="23" t="str">
        <f t="shared" si="8"/>
        <v/>
      </c>
      <c r="I76" s="31"/>
    </row>
    <row r="77" ht="18.75" customHeight="1">
      <c r="A77" s="30"/>
      <c r="B77" s="30"/>
      <c r="C77" s="30"/>
      <c r="D77" s="30"/>
      <c r="E77" s="30"/>
      <c r="F77" s="30"/>
      <c r="G77" s="30"/>
      <c r="H77" s="27" t="str">
        <f t="shared" si="8"/>
        <v/>
      </c>
      <c r="I77" s="30"/>
    </row>
    <row r="78" ht="18.75" customHeight="1">
      <c r="A78" s="31"/>
      <c r="B78" s="31"/>
      <c r="C78" s="31"/>
      <c r="D78" s="31"/>
      <c r="E78" s="31"/>
      <c r="F78" s="31"/>
      <c r="G78" s="31"/>
      <c r="H78" s="23"/>
      <c r="I78" s="31"/>
    </row>
    <row r="79" ht="18.75" customHeight="1">
      <c r="A79" s="30"/>
      <c r="B79" s="30"/>
      <c r="C79" s="30"/>
      <c r="D79" s="30"/>
      <c r="E79" s="30"/>
      <c r="F79" s="30"/>
      <c r="G79" s="30"/>
      <c r="H79" s="27" t="str">
        <f t="shared" ref="H79:H85" si="9">IF(AND(F79="", G79=""), "", SUM($F$12:F79)-SUM($G$12:G79))</f>
        <v/>
      </c>
      <c r="I79" s="30"/>
    </row>
    <row r="80" ht="18.75" customHeight="1">
      <c r="A80" s="31"/>
      <c r="B80" s="31"/>
      <c r="C80" s="31"/>
      <c r="D80" s="31"/>
      <c r="E80" s="31"/>
      <c r="F80" s="31"/>
      <c r="G80" s="31"/>
      <c r="H80" s="23" t="str">
        <f t="shared" si="9"/>
        <v/>
      </c>
      <c r="I80" s="31"/>
    </row>
    <row r="81" ht="18.75" customHeight="1">
      <c r="A81" s="30"/>
      <c r="B81" s="30"/>
      <c r="C81" s="30"/>
      <c r="D81" s="30"/>
      <c r="E81" s="30"/>
      <c r="F81" s="30"/>
      <c r="G81" s="30"/>
      <c r="H81" s="27" t="str">
        <f t="shared" si="9"/>
        <v/>
      </c>
      <c r="I81" s="30"/>
    </row>
    <row r="82" ht="18.75" customHeight="1">
      <c r="A82" s="31"/>
      <c r="B82" s="31"/>
      <c r="C82" s="31"/>
      <c r="D82" s="31"/>
      <c r="E82" s="31"/>
      <c r="F82" s="31"/>
      <c r="G82" s="31"/>
      <c r="H82" s="23" t="str">
        <f t="shared" si="9"/>
        <v/>
      </c>
      <c r="I82" s="31"/>
    </row>
    <row r="83" ht="18.75" customHeight="1">
      <c r="A83" s="30"/>
      <c r="B83" s="30"/>
      <c r="C83" s="30"/>
      <c r="D83" s="30"/>
      <c r="E83" s="30"/>
      <c r="F83" s="30"/>
      <c r="G83" s="30"/>
      <c r="H83" s="27" t="str">
        <f t="shared" si="9"/>
        <v/>
      </c>
      <c r="I83" s="30"/>
    </row>
    <row r="84" ht="18.75" customHeight="1">
      <c r="A84" s="31"/>
      <c r="B84" s="31"/>
      <c r="C84" s="31"/>
      <c r="D84" s="31"/>
      <c r="E84" s="31"/>
      <c r="F84" s="31"/>
      <c r="G84" s="31"/>
      <c r="H84" s="23" t="str">
        <f t="shared" si="9"/>
        <v/>
      </c>
      <c r="I84" s="31"/>
    </row>
    <row r="85" ht="18.75" customHeight="1">
      <c r="A85" s="30"/>
      <c r="B85" s="30"/>
      <c r="C85" s="30"/>
      <c r="D85" s="30"/>
      <c r="E85" s="30"/>
      <c r="F85" s="30"/>
      <c r="G85" s="30"/>
      <c r="H85" s="27" t="str">
        <f t="shared" si="9"/>
        <v/>
      </c>
      <c r="I85" s="30"/>
    </row>
    <row r="86" ht="18.75" customHeight="1">
      <c r="A86" s="31"/>
      <c r="B86" s="31"/>
      <c r="C86" s="31"/>
      <c r="D86" s="31"/>
      <c r="E86" s="31"/>
      <c r="F86" s="31"/>
      <c r="G86" s="31"/>
      <c r="H86" s="23"/>
      <c r="I86" s="31"/>
    </row>
    <row r="87" ht="18.75" customHeight="1">
      <c r="A87" s="30"/>
      <c r="B87" s="30"/>
      <c r="C87" s="30"/>
      <c r="D87" s="30"/>
      <c r="E87" s="30"/>
      <c r="F87" s="30"/>
      <c r="G87" s="30"/>
      <c r="H87" s="27" t="str">
        <f t="shared" ref="H87:H93" si="10">IF(AND(F87="", G87=""), "", SUM($F$12:F87)-SUM($G$12:G87))</f>
        <v/>
      </c>
      <c r="I87" s="30"/>
    </row>
    <row r="88" ht="18.75" customHeight="1">
      <c r="A88" s="31"/>
      <c r="B88" s="31"/>
      <c r="C88" s="31"/>
      <c r="D88" s="31"/>
      <c r="E88" s="31"/>
      <c r="F88" s="31"/>
      <c r="G88" s="31"/>
      <c r="H88" s="23" t="str">
        <f t="shared" si="10"/>
        <v/>
      </c>
      <c r="I88" s="31"/>
    </row>
    <row r="89" ht="18.75" customHeight="1">
      <c r="A89" s="30"/>
      <c r="B89" s="30"/>
      <c r="C89" s="30"/>
      <c r="D89" s="30"/>
      <c r="E89" s="30"/>
      <c r="F89" s="30"/>
      <c r="G89" s="30"/>
      <c r="H89" s="27" t="str">
        <f t="shared" si="10"/>
        <v/>
      </c>
      <c r="I89" s="30"/>
    </row>
    <row r="90" ht="18.75" customHeight="1">
      <c r="A90" s="31"/>
      <c r="B90" s="31"/>
      <c r="C90" s="31"/>
      <c r="D90" s="31"/>
      <c r="E90" s="31"/>
      <c r="F90" s="31"/>
      <c r="G90" s="31"/>
      <c r="H90" s="23" t="str">
        <f t="shared" si="10"/>
        <v/>
      </c>
      <c r="I90" s="31"/>
    </row>
    <row r="91" ht="18.75" customHeight="1">
      <c r="A91" s="30"/>
      <c r="B91" s="30"/>
      <c r="C91" s="30"/>
      <c r="D91" s="30"/>
      <c r="E91" s="30"/>
      <c r="F91" s="30"/>
      <c r="G91" s="30"/>
      <c r="H91" s="27" t="str">
        <f t="shared" si="10"/>
        <v/>
      </c>
      <c r="I91" s="30"/>
    </row>
    <row r="92" ht="18.75" customHeight="1">
      <c r="A92" s="31"/>
      <c r="B92" s="31"/>
      <c r="C92" s="31"/>
      <c r="D92" s="31"/>
      <c r="E92" s="31"/>
      <c r="F92" s="31"/>
      <c r="G92" s="31"/>
      <c r="H92" s="23" t="str">
        <f t="shared" si="10"/>
        <v/>
      </c>
      <c r="I92" s="31"/>
    </row>
    <row r="93" ht="18.75" customHeight="1">
      <c r="A93" s="30"/>
      <c r="B93" s="30"/>
      <c r="C93" s="30"/>
      <c r="D93" s="30"/>
      <c r="E93" s="30"/>
      <c r="F93" s="30"/>
      <c r="G93" s="30"/>
      <c r="H93" s="27" t="str">
        <f t="shared" si="10"/>
        <v/>
      </c>
      <c r="I93" s="30"/>
    </row>
    <row r="94" ht="18.75" customHeight="1">
      <c r="A94" s="31"/>
      <c r="B94" s="31"/>
      <c r="C94" s="31"/>
      <c r="D94" s="31"/>
      <c r="E94" s="31"/>
      <c r="F94" s="31"/>
      <c r="G94" s="31"/>
      <c r="H94" s="23"/>
      <c r="I94" s="31"/>
    </row>
    <row r="95" ht="18.75" customHeight="1">
      <c r="A95" s="30"/>
      <c r="B95" s="30"/>
      <c r="C95" s="30"/>
      <c r="D95" s="30"/>
      <c r="E95" s="30"/>
      <c r="F95" s="30"/>
      <c r="G95" s="30"/>
      <c r="H95" s="27" t="str">
        <f t="shared" ref="H95:H101" si="11">IF(AND(F95="", G95=""), "", SUM($F$12:F95)-SUM($G$12:G95))</f>
        <v/>
      </c>
      <c r="I95" s="30"/>
    </row>
    <row r="96" ht="18.75" customHeight="1">
      <c r="A96" s="31"/>
      <c r="B96" s="31"/>
      <c r="C96" s="31"/>
      <c r="D96" s="31"/>
      <c r="E96" s="31"/>
      <c r="F96" s="31"/>
      <c r="G96" s="31"/>
      <c r="H96" s="23" t="str">
        <f t="shared" si="11"/>
        <v/>
      </c>
      <c r="I96" s="31"/>
    </row>
    <row r="97" ht="18.75" customHeight="1">
      <c r="A97" s="30"/>
      <c r="B97" s="30"/>
      <c r="C97" s="30"/>
      <c r="D97" s="30"/>
      <c r="E97" s="30"/>
      <c r="F97" s="30"/>
      <c r="G97" s="30"/>
      <c r="H97" s="27" t="str">
        <f t="shared" si="11"/>
        <v/>
      </c>
      <c r="I97" s="30"/>
    </row>
    <row r="98" ht="18.75" customHeight="1">
      <c r="A98" s="31"/>
      <c r="B98" s="31"/>
      <c r="C98" s="31"/>
      <c r="D98" s="31"/>
      <c r="E98" s="31"/>
      <c r="F98" s="31"/>
      <c r="G98" s="31"/>
      <c r="H98" s="23" t="str">
        <f t="shared" si="11"/>
        <v/>
      </c>
      <c r="I98" s="31"/>
    </row>
    <row r="99" ht="18.75" customHeight="1">
      <c r="A99" s="30"/>
      <c r="B99" s="30"/>
      <c r="C99" s="30"/>
      <c r="D99" s="30"/>
      <c r="E99" s="30"/>
      <c r="F99" s="30"/>
      <c r="G99" s="30"/>
      <c r="H99" s="27" t="str">
        <f t="shared" si="11"/>
        <v/>
      </c>
      <c r="I99" s="30"/>
    </row>
    <row r="100" ht="18.75" customHeight="1">
      <c r="A100" s="31"/>
      <c r="B100" s="31"/>
      <c r="C100" s="31"/>
      <c r="D100" s="31"/>
      <c r="E100" s="31"/>
      <c r="F100" s="31"/>
      <c r="G100" s="31"/>
      <c r="H100" s="23" t="str">
        <f t="shared" si="11"/>
        <v/>
      </c>
      <c r="I100" s="31"/>
    </row>
    <row r="101" ht="18.75" customHeight="1">
      <c r="A101" s="30"/>
      <c r="B101" s="30"/>
      <c r="C101" s="30"/>
      <c r="D101" s="30"/>
      <c r="E101" s="30"/>
      <c r="F101" s="30"/>
      <c r="G101" s="30"/>
      <c r="H101" s="27" t="str">
        <f t="shared" si="11"/>
        <v/>
      </c>
      <c r="I101" s="30"/>
    </row>
    <row r="102" ht="18.75" customHeight="1">
      <c r="A102" s="31"/>
      <c r="B102" s="31"/>
      <c r="C102" s="31"/>
      <c r="D102" s="31"/>
      <c r="E102" s="31"/>
      <c r="F102" s="31"/>
      <c r="G102" s="31"/>
      <c r="H102" s="23"/>
      <c r="I102" s="31"/>
    </row>
    <row r="103" ht="18.75" customHeight="1">
      <c r="A103" s="30"/>
      <c r="B103" s="30"/>
      <c r="C103" s="30"/>
      <c r="D103" s="30"/>
      <c r="E103" s="30"/>
      <c r="F103" s="30"/>
      <c r="G103" s="30"/>
      <c r="H103" s="27" t="str">
        <f t="shared" ref="H103:H109" si="12">IF(AND(F103="", G103=""), "", SUM($F$12:F103)-SUM($G$12:G103))</f>
        <v/>
      </c>
      <c r="I103" s="30"/>
    </row>
    <row r="104" ht="18.75" customHeight="1">
      <c r="A104" s="31"/>
      <c r="B104" s="31"/>
      <c r="C104" s="31"/>
      <c r="D104" s="31"/>
      <c r="E104" s="31"/>
      <c r="F104" s="31"/>
      <c r="G104" s="31"/>
      <c r="H104" s="23" t="str">
        <f t="shared" si="12"/>
        <v/>
      </c>
      <c r="I104" s="31"/>
    </row>
    <row r="105" ht="18.75" customHeight="1">
      <c r="A105" s="30"/>
      <c r="B105" s="30"/>
      <c r="C105" s="30"/>
      <c r="D105" s="30"/>
      <c r="E105" s="30"/>
      <c r="F105" s="30"/>
      <c r="G105" s="30"/>
      <c r="H105" s="27" t="str">
        <f t="shared" si="12"/>
        <v/>
      </c>
      <c r="I105" s="30"/>
    </row>
    <row r="106" ht="18.75" customHeight="1">
      <c r="A106" s="31"/>
      <c r="B106" s="31"/>
      <c r="C106" s="31"/>
      <c r="D106" s="31"/>
      <c r="E106" s="31"/>
      <c r="F106" s="31"/>
      <c r="G106" s="31"/>
      <c r="H106" s="23" t="str">
        <f t="shared" si="12"/>
        <v/>
      </c>
      <c r="I106" s="31"/>
    </row>
    <row r="107" ht="18.75" customHeight="1">
      <c r="A107" s="30"/>
      <c r="B107" s="30"/>
      <c r="C107" s="30"/>
      <c r="D107" s="30"/>
      <c r="E107" s="30"/>
      <c r="F107" s="30"/>
      <c r="G107" s="30"/>
      <c r="H107" s="27" t="str">
        <f t="shared" si="12"/>
        <v/>
      </c>
      <c r="I107" s="30"/>
    </row>
    <row r="108" ht="18.75" customHeight="1">
      <c r="A108" s="31"/>
      <c r="B108" s="31"/>
      <c r="C108" s="31"/>
      <c r="D108" s="31"/>
      <c r="E108" s="31"/>
      <c r="F108" s="31"/>
      <c r="G108" s="31"/>
      <c r="H108" s="23" t="str">
        <f t="shared" si="12"/>
        <v/>
      </c>
      <c r="I108" s="31"/>
    </row>
    <row r="109" ht="18.75" customHeight="1">
      <c r="A109" s="30"/>
      <c r="B109" s="30"/>
      <c r="C109" s="30"/>
      <c r="D109" s="30"/>
      <c r="E109" s="30"/>
      <c r="F109" s="30"/>
      <c r="G109" s="30"/>
      <c r="H109" s="27" t="str">
        <f t="shared" si="12"/>
        <v/>
      </c>
      <c r="I109" s="30"/>
    </row>
    <row r="110" ht="18.75" customHeight="1">
      <c r="A110" s="31"/>
      <c r="B110" s="31"/>
      <c r="C110" s="31"/>
      <c r="D110" s="31"/>
      <c r="E110" s="31"/>
      <c r="F110" s="31"/>
      <c r="G110" s="31"/>
      <c r="H110" s="23"/>
      <c r="I110" s="31"/>
    </row>
    <row r="111" ht="18.75" customHeight="1">
      <c r="A111" s="30"/>
      <c r="B111" s="30"/>
      <c r="C111" s="30"/>
      <c r="D111" s="30"/>
      <c r="E111" s="30"/>
      <c r="F111" s="30"/>
      <c r="G111" s="30"/>
      <c r="H111" s="27" t="str">
        <f t="shared" ref="H111:H117" si="13">IF(AND(F111="", G111=""), "", SUM($F$12:F111)-SUM($G$12:G111))</f>
        <v/>
      </c>
      <c r="I111" s="30"/>
    </row>
    <row r="112" ht="18.75" customHeight="1">
      <c r="A112" s="31"/>
      <c r="B112" s="31"/>
      <c r="C112" s="31"/>
      <c r="D112" s="31"/>
      <c r="E112" s="31"/>
      <c r="F112" s="31"/>
      <c r="G112" s="31"/>
      <c r="H112" s="23" t="str">
        <f t="shared" si="13"/>
        <v/>
      </c>
      <c r="I112" s="31"/>
    </row>
    <row r="113" ht="18.75" customHeight="1">
      <c r="A113" s="30"/>
      <c r="B113" s="30"/>
      <c r="C113" s="30"/>
      <c r="D113" s="30"/>
      <c r="E113" s="30"/>
      <c r="F113" s="30"/>
      <c r="G113" s="30"/>
      <c r="H113" s="27" t="str">
        <f t="shared" si="13"/>
        <v/>
      </c>
      <c r="I113" s="30"/>
    </row>
    <row r="114" ht="18.75" customHeight="1">
      <c r="A114" s="31"/>
      <c r="B114" s="31"/>
      <c r="C114" s="31"/>
      <c r="D114" s="31"/>
      <c r="E114" s="31"/>
      <c r="F114" s="31"/>
      <c r="G114" s="31"/>
      <c r="H114" s="23" t="str">
        <f t="shared" si="13"/>
        <v/>
      </c>
      <c r="I114" s="31"/>
    </row>
    <row r="115" ht="18.75" customHeight="1">
      <c r="A115" s="30"/>
      <c r="B115" s="30"/>
      <c r="C115" s="30"/>
      <c r="D115" s="30"/>
      <c r="E115" s="30"/>
      <c r="F115" s="30"/>
      <c r="G115" s="30"/>
      <c r="H115" s="27" t="str">
        <f t="shared" si="13"/>
        <v/>
      </c>
      <c r="I115" s="30"/>
    </row>
    <row r="116" ht="18.75" customHeight="1">
      <c r="A116" s="31"/>
      <c r="B116" s="31"/>
      <c r="C116" s="31"/>
      <c r="D116" s="31"/>
      <c r="E116" s="31"/>
      <c r="F116" s="31"/>
      <c r="G116" s="31"/>
      <c r="H116" s="23" t="str">
        <f t="shared" si="13"/>
        <v/>
      </c>
      <c r="I116" s="31"/>
    </row>
    <row r="117" ht="18.75" customHeight="1">
      <c r="A117" s="30"/>
      <c r="B117" s="30"/>
      <c r="C117" s="30"/>
      <c r="D117" s="30"/>
      <c r="E117" s="30"/>
      <c r="F117" s="30"/>
      <c r="G117" s="30"/>
      <c r="H117" s="27" t="str">
        <f t="shared" si="13"/>
        <v/>
      </c>
      <c r="I117" s="30"/>
    </row>
    <row r="118" ht="18.75" customHeight="1">
      <c r="A118" s="31"/>
      <c r="B118" s="31"/>
      <c r="C118" s="31"/>
      <c r="D118" s="31"/>
      <c r="E118" s="31"/>
      <c r="F118" s="31"/>
      <c r="G118" s="31"/>
      <c r="H118" s="23"/>
      <c r="I118" s="31"/>
    </row>
    <row r="119" ht="18.75" customHeight="1">
      <c r="A119" s="30"/>
      <c r="B119" s="30"/>
      <c r="C119" s="30"/>
      <c r="D119" s="30"/>
      <c r="E119" s="30"/>
      <c r="F119" s="30"/>
      <c r="G119" s="30"/>
      <c r="H119" s="27" t="str">
        <f t="shared" ref="H119:H125" si="14">IF(AND(F119="", G119=""), "", SUM($F$12:F119)-SUM($G$12:G119))</f>
        <v/>
      </c>
      <c r="I119" s="30"/>
    </row>
    <row r="120" ht="18.75" customHeight="1">
      <c r="A120" s="31"/>
      <c r="B120" s="31"/>
      <c r="C120" s="31"/>
      <c r="D120" s="31"/>
      <c r="E120" s="31"/>
      <c r="F120" s="31"/>
      <c r="G120" s="31"/>
      <c r="H120" s="23" t="str">
        <f t="shared" si="14"/>
        <v/>
      </c>
      <c r="I120" s="31"/>
    </row>
    <row r="121" ht="18.75" customHeight="1">
      <c r="A121" s="30"/>
      <c r="B121" s="30"/>
      <c r="C121" s="30"/>
      <c r="D121" s="30"/>
      <c r="E121" s="30"/>
      <c r="F121" s="30"/>
      <c r="G121" s="30"/>
      <c r="H121" s="27" t="str">
        <f t="shared" si="14"/>
        <v/>
      </c>
      <c r="I121" s="30"/>
    </row>
    <row r="122" ht="18.75" customHeight="1">
      <c r="A122" s="31"/>
      <c r="B122" s="31"/>
      <c r="C122" s="31"/>
      <c r="D122" s="31"/>
      <c r="E122" s="31"/>
      <c r="F122" s="31"/>
      <c r="G122" s="31"/>
      <c r="H122" s="23" t="str">
        <f t="shared" si="14"/>
        <v/>
      </c>
      <c r="I122" s="31"/>
    </row>
    <row r="123" ht="18.75" customHeight="1">
      <c r="A123" s="30"/>
      <c r="B123" s="30"/>
      <c r="C123" s="30"/>
      <c r="D123" s="30"/>
      <c r="E123" s="30"/>
      <c r="F123" s="30"/>
      <c r="G123" s="30"/>
      <c r="H123" s="27" t="str">
        <f t="shared" si="14"/>
        <v/>
      </c>
      <c r="I123" s="30"/>
    </row>
    <row r="124" ht="18.75" customHeight="1">
      <c r="A124" s="31"/>
      <c r="B124" s="31"/>
      <c r="C124" s="31"/>
      <c r="D124" s="31"/>
      <c r="E124" s="31"/>
      <c r="F124" s="31"/>
      <c r="G124" s="31"/>
      <c r="H124" s="23" t="str">
        <f t="shared" si="14"/>
        <v/>
      </c>
      <c r="I124" s="31"/>
    </row>
    <row r="125" ht="18.75" customHeight="1">
      <c r="A125" s="30"/>
      <c r="B125" s="30"/>
      <c r="C125" s="30"/>
      <c r="D125" s="30"/>
      <c r="E125" s="30"/>
      <c r="F125" s="30"/>
      <c r="G125" s="30"/>
      <c r="H125" s="27" t="str">
        <f t="shared" si="14"/>
        <v/>
      </c>
      <c r="I125" s="30"/>
    </row>
    <row r="126" ht="18.75" customHeight="1">
      <c r="A126" s="31"/>
      <c r="B126" s="31"/>
      <c r="C126" s="31"/>
      <c r="D126" s="31"/>
      <c r="E126" s="31"/>
      <c r="F126" s="31"/>
      <c r="G126" s="31"/>
      <c r="H126" s="23"/>
      <c r="I126" s="31"/>
    </row>
    <row r="127" ht="18.75" customHeight="1">
      <c r="A127" s="30"/>
      <c r="B127" s="30"/>
      <c r="C127" s="30"/>
      <c r="D127" s="30"/>
      <c r="E127" s="30"/>
      <c r="F127" s="30"/>
      <c r="G127" s="30"/>
      <c r="H127" s="27" t="str">
        <f t="shared" ref="H127:H133" si="15">IF(AND(F127="", G127=""), "", SUM($F$12:F127)-SUM($G$12:G127))</f>
        <v/>
      </c>
      <c r="I127" s="30"/>
    </row>
    <row r="128" ht="18.75" customHeight="1">
      <c r="A128" s="31"/>
      <c r="B128" s="31"/>
      <c r="C128" s="31"/>
      <c r="D128" s="31"/>
      <c r="E128" s="31"/>
      <c r="F128" s="31"/>
      <c r="G128" s="31"/>
      <c r="H128" s="23" t="str">
        <f t="shared" si="15"/>
        <v/>
      </c>
      <c r="I128" s="31"/>
    </row>
    <row r="129" ht="18.75" customHeight="1">
      <c r="A129" s="30"/>
      <c r="B129" s="30"/>
      <c r="C129" s="30"/>
      <c r="D129" s="30"/>
      <c r="E129" s="30"/>
      <c r="F129" s="30"/>
      <c r="G129" s="30"/>
      <c r="H129" s="27" t="str">
        <f t="shared" si="15"/>
        <v/>
      </c>
      <c r="I129" s="30"/>
    </row>
    <row r="130" ht="18.75" customHeight="1">
      <c r="A130" s="31"/>
      <c r="B130" s="31"/>
      <c r="C130" s="31"/>
      <c r="D130" s="31"/>
      <c r="E130" s="31"/>
      <c r="F130" s="31"/>
      <c r="G130" s="31"/>
      <c r="H130" s="23" t="str">
        <f t="shared" si="15"/>
        <v/>
      </c>
      <c r="I130" s="31"/>
    </row>
    <row r="131" ht="18.75" customHeight="1">
      <c r="A131" s="30"/>
      <c r="B131" s="30"/>
      <c r="C131" s="30"/>
      <c r="D131" s="30"/>
      <c r="E131" s="30"/>
      <c r="F131" s="30"/>
      <c r="G131" s="30"/>
      <c r="H131" s="27" t="str">
        <f t="shared" si="15"/>
        <v/>
      </c>
      <c r="I131" s="30"/>
    </row>
    <row r="132" ht="18.75" customHeight="1">
      <c r="A132" s="31"/>
      <c r="B132" s="31"/>
      <c r="C132" s="31"/>
      <c r="D132" s="31"/>
      <c r="E132" s="31"/>
      <c r="F132" s="31"/>
      <c r="G132" s="31"/>
      <c r="H132" s="23" t="str">
        <f t="shared" si="15"/>
        <v/>
      </c>
      <c r="I132" s="31"/>
    </row>
    <row r="133" ht="18.75" customHeight="1">
      <c r="A133" s="30"/>
      <c r="B133" s="30"/>
      <c r="C133" s="30"/>
      <c r="D133" s="30"/>
      <c r="E133" s="30"/>
      <c r="F133" s="30"/>
      <c r="G133" s="30"/>
      <c r="H133" s="27" t="str">
        <f t="shared" si="15"/>
        <v/>
      </c>
      <c r="I133" s="30"/>
    </row>
    <row r="134" ht="18.75" customHeight="1">
      <c r="A134" s="31"/>
      <c r="B134" s="31"/>
      <c r="C134" s="31"/>
      <c r="D134" s="31"/>
      <c r="E134" s="31"/>
      <c r="F134" s="31"/>
      <c r="G134" s="31"/>
      <c r="H134" s="23"/>
      <c r="I134" s="31"/>
    </row>
    <row r="135" ht="18.75" customHeight="1">
      <c r="A135" s="30"/>
      <c r="B135" s="30"/>
      <c r="C135" s="30"/>
      <c r="D135" s="30"/>
      <c r="E135" s="30"/>
      <c r="F135" s="30"/>
      <c r="G135" s="30"/>
      <c r="H135" s="27" t="str">
        <f t="shared" ref="H135:H141" si="16">IF(AND(F135="", G135=""), "", SUM($F$12:F135)-SUM($G$12:G135))</f>
        <v/>
      </c>
      <c r="I135" s="30"/>
    </row>
    <row r="136" ht="18.75" customHeight="1">
      <c r="A136" s="31"/>
      <c r="B136" s="31"/>
      <c r="C136" s="31"/>
      <c r="D136" s="31"/>
      <c r="E136" s="31"/>
      <c r="F136" s="31"/>
      <c r="G136" s="31"/>
      <c r="H136" s="23" t="str">
        <f t="shared" si="16"/>
        <v/>
      </c>
      <c r="I136" s="31"/>
    </row>
    <row r="137" ht="18.75" customHeight="1">
      <c r="A137" s="30"/>
      <c r="B137" s="30"/>
      <c r="C137" s="30"/>
      <c r="D137" s="30"/>
      <c r="E137" s="30"/>
      <c r="F137" s="30"/>
      <c r="G137" s="30"/>
      <c r="H137" s="27" t="str">
        <f t="shared" si="16"/>
        <v/>
      </c>
      <c r="I137" s="30"/>
    </row>
    <row r="138" ht="18.75" customHeight="1">
      <c r="A138" s="31"/>
      <c r="B138" s="31"/>
      <c r="C138" s="31"/>
      <c r="D138" s="31"/>
      <c r="E138" s="31"/>
      <c r="F138" s="31"/>
      <c r="G138" s="31"/>
      <c r="H138" s="23" t="str">
        <f t="shared" si="16"/>
        <v/>
      </c>
      <c r="I138" s="31"/>
    </row>
    <row r="139" ht="18.75" customHeight="1">
      <c r="A139" s="30"/>
      <c r="B139" s="30"/>
      <c r="C139" s="30"/>
      <c r="D139" s="30"/>
      <c r="E139" s="30"/>
      <c r="F139" s="30"/>
      <c r="G139" s="30"/>
      <c r="H139" s="27" t="str">
        <f t="shared" si="16"/>
        <v/>
      </c>
      <c r="I139" s="30"/>
    </row>
    <row r="140" ht="18.75" customHeight="1">
      <c r="A140" s="31"/>
      <c r="B140" s="31"/>
      <c r="C140" s="31"/>
      <c r="D140" s="31"/>
      <c r="E140" s="31"/>
      <c r="F140" s="31"/>
      <c r="G140" s="31"/>
      <c r="H140" s="23" t="str">
        <f t="shared" si="16"/>
        <v/>
      </c>
      <c r="I140" s="31"/>
    </row>
    <row r="141" ht="18.75" customHeight="1">
      <c r="A141" s="30"/>
      <c r="B141" s="30"/>
      <c r="C141" s="30"/>
      <c r="D141" s="30"/>
      <c r="E141" s="30"/>
      <c r="F141" s="30"/>
      <c r="G141" s="30"/>
      <c r="H141" s="27" t="str">
        <f t="shared" si="16"/>
        <v/>
      </c>
      <c r="I141" s="30"/>
    </row>
    <row r="142" ht="18.75" customHeight="1">
      <c r="A142" s="31"/>
      <c r="B142" s="31"/>
      <c r="C142" s="31"/>
      <c r="D142" s="31"/>
      <c r="E142" s="31"/>
      <c r="F142" s="31"/>
      <c r="G142" s="31"/>
      <c r="H142" s="23"/>
      <c r="I142" s="31"/>
    </row>
    <row r="143" ht="18.75" customHeight="1">
      <c r="A143" s="30"/>
      <c r="B143" s="30"/>
      <c r="C143" s="30"/>
      <c r="D143" s="30"/>
      <c r="E143" s="30"/>
      <c r="F143" s="30"/>
      <c r="G143" s="30"/>
      <c r="H143" s="27" t="str">
        <f t="shared" ref="H143:H149" si="17">IF(AND(F143="", G143=""), "", SUM($F$12:F143)-SUM($G$12:G143))</f>
        <v/>
      </c>
      <c r="I143" s="30"/>
    </row>
    <row r="144" ht="18.75" customHeight="1">
      <c r="A144" s="31"/>
      <c r="B144" s="31"/>
      <c r="C144" s="31"/>
      <c r="D144" s="31"/>
      <c r="E144" s="31"/>
      <c r="F144" s="31"/>
      <c r="G144" s="31"/>
      <c r="H144" s="23" t="str">
        <f t="shared" si="17"/>
        <v/>
      </c>
      <c r="I144" s="31"/>
    </row>
    <row r="145" ht="18.75" customHeight="1">
      <c r="A145" s="30"/>
      <c r="B145" s="30"/>
      <c r="C145" s="30"/>
      <c r="D145" s="30"/>
      <c r="E145" s="30"/>
      <c r="F145" s="30"/>
      <c r="G145" s="30"/>
      <c r="H145" s="27" t="str">
        <f t="shared" si="17"/>
        <v/>
      </c>
      <c r="I145" s="30"/>
    </row>
    <row r="146" ht="18.75" customHeight="1">
      <c r="A146" s="31"/>
      <c r="B146" s="31"/>
      <c r="C146" s="31"/>
      <c r="D146" s="31"/>
      <c r="E146" s="31"/>
      <c r="F146" s="31"/>
      <c r="G146" s="31"/>
      <c r="H146" s="23" t="str">
        <f t="shared" si="17"/>
        <v/>
      </c>
      <c r="I146" s="31"/>
    </row>
    <row r="147" ht="18.75" customHeight="1">
      <c r="A147" s="30"/>
      <c r="B147" s="30"/>
      <c r="C147" s="30"/>
      <c r="D147" s="30"/>
      <c r="E147" s="30"/>
      <c r="F147" s="30"/>
      <c r="G147" s="30"/>
      <c r="H147" s="27" t="str">
        <f t="shared" si="17"/>
        <v/>
      </c>
      <c r="I147" s="30"/>
    </row>
    <row r="148" ht="18.75" customHeight="1">
      <c r="A148" s="31"/>
      <c r="B148" s="31"/>
      <c r="C148" s="31"/>
      <c r="D148" s="31"/>
      <c r="E148" s="31"/>
      <c r="F148" s="31"/>
      <c r="G148" s="31"/>
      <c r="H148" s="23" t="str">
        <f t="shared" si="17"/>
        <v/>
      </c>
      <c r="I148" s="31"/>
    </row>
    <row r="149" ht="18.75" customHeight="1">
      <c r="A149" s="30"/>
      <c r="B149" s="30"/>
      <c r="C149" s="30"/>
      <c r="D149" s="30"/>
      <c r="E149" s="30"/>
      <c r="F149" s="30"/>
      <c r="G149" s="30"/>
      <c r="H149" s="27" t="str">
        <f t="shared" si="17"/>
        <v/>
      </c>
      <c r="I149" s="30"/>
    </row>
    <row r="150" ht="18.75" customHeight="1">
      <c r="A150" s="31"/>
      <c r="B150" s="31"/>
      <c r="C150" s="31"/>
      <c r="D150" s="31"/>
      <c r="E150" s="31"/>
      <c r="F150" s="31"/>
      <c r="G150" s="31"/>
      <c r="H150" s="23"/>
      <c r="I150" s="31"/>
    </row>
    <row r="151" ht="18.75" customHeight="1">
      <c r="A151" s="30"/>
      <c r="B151" s="30"/>
      <c r="C151" s="30"/>
      <c r="D151" s="30"/>
      <c r="E151" s="30"/>
      <c r="F151" s="30"/>
      <c r="G151" s="30"/>
      <c r="H151" s="27" t="str">
        <f t="shared" ref="H151:H157" si="18">IF(AND(F151="", G151=""), "", SUM($F$12:F151)-SUM($G$12:G151))</f>
        <v/>
      </c>
      <c r="I151" s="30"/>
    </row>
    <row r="152" ht="18.75" customHeight="1">
      <c r="A152" s="31"/>
      <c r="B152" s="31"/>
      <c r="C152" s="31"/>
      <c r="D152" s="31"/>
      <c r="E152" s="31"/>
      <c r="F152" s="31"/>
      <c r="G152" s="31"/>
      <c r="H152" s="23" t="str">
        <f t="shared" si="18"/>
        <v/>
      </c>
      <c r="I152" s="31"/>
    </row>
    <row r="153" ht="18.75" customHeight="1">
      <c r="A153" s="30"/>
      <c r="B153" s="30"/>
      <c r="C153" s="30"/>
      <c r="D153" s="30"/>
      <c r="E153" s="30"/>
      <c r="F153" s="30"/>
      <c r="G153" s="30"/>
      <c r="H153" s="27" t="str">
        <f t="shared" si="18"/>
        <v/>
      </c>
      <c r="I153" s="30"/>
    </row>
    <row r="154" ht="18.75" customHeight="1">
      <c r="A154" s="31"/>
      <c r="B154" s="31"/>
      <c r="C154" s="31"/>
      <c r="D154" s="31"/>
      <c r="E154" s="31"/>
      <c r="F154" s="31"/>
      <c r="G154" s="31"/>
      <c r="H154" s="23" t="str">
        <f t="shared" si="18"/>
        <v/>
      </c>
      <c r="I154" s="31"/>
    </row>
    <row r="155" ht="18.75" customHeight="1">
      <c r="A155" s="30"/>
      <c r="B155" s="30"/>
      <c r="C155" s="30"/>
      <c r="D155" s="30"/>
      <c r="E155" s="30"/>
      <c r="F155" s="30"/>
      <c r="G155" s="30"/>
      <c r="H155" s="27" t="str">
        <f t="shared" si="18"/>
        <v/>
      </c>
      <c r="I155" s="30"/>
    </row>
    <row r="156" ht="18.75" customHeight="1">
      <c r="A156" s="31"/>
      <c r="B156" s="31"/>
      <c r="C156" s="31"/>
      <c r="D156" s="31"/>
      <c r="E156" s="31"/>
      <c r="F156" s="31"/>
      <c r="G156" s="31"/>
      <c r="H156" s="23" t="str">
        <f t="shared" si="18"/>
        <v/>
      </c>
      <c r="I156" s="31"/>
    </row>
    <row r="157" ht="18.75" customHeight="1">
      <c r="A157" s="30"/>
      <c r="B157" s="30"/>
      <c r="C157" s="30"/>
      <c r="D157" s="30"/>
      <c r="E157" s="30"/>
      <c r="F157" s="30"/>
      <c r="G157" s="30"/>
      <c r="H157" s="27" t="str">
        <f t="shared" si="18"/>
        <v/>
      </c>
      <c r="I157" s="30"/>
    </row>
    <row r="158" ht="18.75" customHeight="1">
      <c r="A158" s="31"/>
      <c r="B158" s="31"/>
      <c r="C158" s="31"/>
      <c r="D158" s="31"/>
      <c r="E158" s="31"/>
      <c r="F158" s="31"/>
      <c r="G158" s="31"/>
      <c r="H158" s="23"/>
      <c r="I158" s="31"/>
    </row>
    <row r="159" ht="18.75" customHeight="1">
      <c r="A159" s="30"/>
      <c r="B159" s="30"/>
      <c r="C159" s="30"/>
      <c r="D159" s="30"/>
      <c r="E159" s="30"/>
      <c r="F159" s="30"/>
      <c r="G159" s="30"/>
      <c r="H159" s="27" t="str">
        <f t="shared" ref="H159:H165" si="19">IF(AND(F159="", G159=""), "", SUM($F$12:F159)-SUM($G$12:G159))</f>
        <v/>
      </c>
      <c r="I159" s="30"/>
    </row>
    <row r="160" ht="18.75" customHeight="1">
      <c r="A160" s="31"/>
      <c r="B160" s="31"/>
      <c r="C160" s="31"/>
      <c r="D160" s="31"/>
      <c r="E160" s="31"/>
      <c r="F160" s="31"/>
      <c r="G160" s="31"/>
      <c r="H160" s="23" t="str">
        <f t="shared" si="19"/>
        <v/>
      </c>
      <c r="I160" s="31"/>
    </row>
    <row r="161" ht="18.75" customHeight="1">
      <c r="A161" s="30"/>
      <c r="B161" s="30"/>
      <c r="C161" s="30"/>
      <c r="D161" s="30"/>
      <c r="E161" s="30"/>
      <c r="F161" s="30"/>
      <c r="G161" s="30"/>
      <c r="H161" s="27" t="str">
        <f t="shared" si="19"/>
        <v/>
      </c>
      <c r="I161" s="30"/>
    </row>
    <row r="162" ht="18.75" customHeight="1">
      <c r="A162" s="31"/>
      <c r="B162" s="31"/>
      <c r="C162" s="31"/>
      <c r="D162" s="31"/>
      <c r="E162" s="31"/>
      <c r="F162" s="31"/>
      <c r="G162" s="31"/>
      <c r="H162" s="23" t="str">
        <f t="shared" si="19"/>
        <v/>
      </c>
      <c r="I162" s="31"/>
    </row>
    <row r="163" ht="18.75" customHeight="1">
      <c r="A163" s="30"/>
      <c r="B163" s="30"/>
      <c r="C163" s="30"/>
      <c r="D163" s="30"/>
      <c r="E163" s="30"/>
      <c r="F163" s="30"/>
      <c r="G163" s="30"/>
      <c r="H163" s="27" t="str">
        <f t="shared" si="19"/>
        <v/>
      </c>
      <c r="I163" s="30"/>
    </row>
    <row r="164" ht="18.75" customHeight="1">
      <c r="A164" s="31"/>
      <c r="B164" s="31"/>
      <c r="C164" s="31"/>
      <c r="D164" s="31"/>
      <c r="E164" s="31"/>
      <c r="F164" s="31"/>
      <c r="G164" s="31"/>
      <c r="H164" s="23" t="str">
        <f t="shared" si="19"/>
        <v/>
      </c>
      <c r="I164" s="31"/>
    </row>
    <row r="165" ht="18.75" customHeight="1">
      <c r="A165" s="30"/>
      <c r="B165" s="30"/>
      <c r="C165" s="30"/>
      <c r="D165" s="30"/>
      <c r="E165" s="30"/>
      <c r="F165" s="30"/>
      <c r="G165" s="30"/>
      <c r="H165" s="27" t="str">
        <f t="shared" si="19"/>
        <v/>
      </c>
      <c r="I165" s="30"/>
    </row>
    <row r="166" ht="18.75" customHeight="1">
      <c r="A166" s="31"/>
      <c r="B166" s="31"/>
      <c r="C166" s="31"/>
      <c r="D166" s="31"/>
      <c r="E166" s="31"/>
      <c r="F166" s="31"/>
      <c r="G166" s="31"/>
      <c r="H166" s="23"/>
      <c r="I166" s="31"/>
    </row>
    <row r="167" ht="18.75" customHeight="1">
      <c r="A167" s="30"/>
      <c r="B167" s="30"/>
      <c r="C167" s="30"/>
      <c r="D167" s="30"/>
      <c r="E167" s="30"/>
      <c r="F167" s="30"/>
      <c r="G167" s="30"/>
      <c r="H167" s="27" t="str">
        <f t="shared" ref="H167:H173" si="20">IF(AND(F167="", G167=""), "", SUM($F$12:F167)-SUM($G$12:G167))</f>
        <v/>
      </c>
      <c r="I167" s="30"/>
    </row>
    <row r="168" ht="18.75" customHeight="1">
      <c r="A168" s="31"/>
      <c r="B168" s="31"/>
      <c r="C168" s="31"/>
      <c r="D168" s="31"/>
      <c r="E168" s="31"/>
      <c r="F168" s="31"/>
      <c r="G168" s="31"/>
      <c r="H168" s="23" t="str">
        <f t="shared" si="20"/>
        <v/>
      </c>
      <c r="I168" s="31"/>
    </row>
    <row r="169" ht="18.75" customHeight="1">
      <c r="A169" s="30"/>
      <c r="B169" s="30"/>
      <c r="C169" s="30"/>
      <c r="D169" s="30"/>
      <c r="E169" s="30"/>
      <c r="F169" s="30"/>
      <c r="G169" s="30"/>
      <c r="H169" s="27" t="str">
        <f t="shared" si="20"/>
        <v/>
      </c>
      <c r="I169" s="30"/>
    </row>
    <row r="170" ht="18.75" customHeight="1">
      <c r="A170" s="31"/>
      <c r="B170" s="31"/>
      <c r="C170" s="31"/>
      <c r="D170" s="31"/>
      <c r="E170" s="31"/>
      <c r="F170" s="31"/>
      <c r="G170" s="31"/>
      <c r="H170" s="23" t="str">
        <f t="shared" si="20"/>
        <v/>
      </c>
      <c r="I170" s="31"/>
    </row>
    <row r="171" ht="18.75" customHeight="1">
      <c r="A171" s="30"/>
      <c r="B171" s="30"/>
      <c r="C171" s="30"/>
      <c r="D171" s="30"/>
      <c r="E171" s="30"/>
      <c r="F171" s="30"/>
      <c r="G171" s="30"/>
      <c r="H171" s="27" t="str">
        <f t="shared" si="20"/>
        <v/>
      </c>
      <c r="I171" s="30"/>
    </row>
    <row r="172" ht="18.75" customHeight="1">
      <c r="A172" s="31"/>
      <c r="B172" s="31"/>
      <c r="C172" s="31"/>
      <c r="D172" s="31"/>
      <c r="E172" s="31"/>
      <c r="F172" s="31"/>
      <c r="G172" s="31"/>
      <c r="H172" s="23" t="str">
        <f t="shared" si="20"/>
        <v/>
      </c>
      <c r="I172" s="31"/>
    </row>
    <row r="173" ht="18.75" customHeight="1">
      <c r="A173" s="30"/>
      <c r="B173" s="30"/>
      <c r="C173" s="30"/>
      <c r="D173" s="30"/>
      <c r="E173" s="30"/>
      <c r="F173" s="30"/>
      <c r="G173" s="30"/>
      <c r="H173" s="27" t="str">
        <f t="shared" si="20"/>
        <v/>
      </c>
      <c r="I173" s="30"/>
    </row>
    <row r="174" ht="18.75" customHeight="1">
      <c r="A174" s="31"/>
      <c r="B174" s="31"/>
      <c r="C174" s="31"/>
      <c r="D174" s="31"/>
      <c r="E174" s="31"/>
      <c r="F174" s="31"/>
      <c r="G174" s="31"/>
      <c r="H174" s="23"/>
      <c r="I174" s="31"/>
    </row>
    <row r="175" ht="18.75" customHeight="1">
      <c r="A175" s="30"/>
      <c r="B175" s="30"/>
      <c r="C175" s="30"/>
      <c r="D175" s="30"/>
      <c r="E175" s="30"/>
      <c r="F175" s="30"/>
      <c r="G175" s="30"/>
      <c r="H175" s="27" t="str">
        <f t="shared" ref="H175:H181" si="21">IF(AND(F175="", G175=""), "", SUM($F$12:F175)-SUM($G$12:G175))</f>
        <v/>
      </c>
      <c r="I175" s="30"/>
    </row>
    <row r="176" ht="18.75" customHeight="1">
      <c r="A176" s="31"/>
      <c r="B176" s="31"/>
      <c r="C176" s="31"/>
      <c r="D176" s="31"/>
      <c r="E176" s="31"/>
      <c r="F176" s="31"/>
      <c r="G176" s="31"/>
      <c r="H176" s="23" t="str">
        <f t="shared" si="21"/>
        <v/>
      </c>
      <c r="I176" s="31"/>
    </row>
    <row r="177" ht="18.75" customHeight="1">
      <c r="A177" s="30"/>
      <c r="B177" s="30"/>
      <c r="C177" s="30"/>
      <c r="D177" s="30"/>
      <c r="E177" s="30"/>
      <c r="F177" s="30"/>
      <c r="G177" s="30"/>
      <c r="H177" s="27" t="str">
        <f t="shared" si="21"/>
        <v/>
      </c>
      <c r="I177" s="30"/>
    </row>
    <row r="178" ht="18.75" customHeight="1">
      <c r="A178" s="31"/>
      <c r="B178" s="31"/>
      <c r="C178" s="31"/>
      <c r="D178" s="31"/>
      <c r="E178" s="31"/>
      <c r="F178" s="31"/>
      <c r="G178" s="31"/>
      <c r="H178" s="23" t="str">
        <f t="shared" si="21"/>
        <v/>
      </c>
      <c r="I178" s="31"/>
    </row>
    <row r="179" ht="18.75" customHeight="1">
      <c r="A179" s="30"/>
      <c r="B179" s="30"/>
      <c r="C179" s="30"/>
      <c r="D179" s="30"/>
      <c r="E179" s="30"/>
      <c r="F179" s="30"/>
      <c r="G179" s="30"/>
      <c r="H179" s="27" t="str">
        <f t="shared" si="21"/>
        <v/>
      </c>
      <c r="I179" s="30"/>
    </row>
    <row r="180" ht="18.75" customHeight="1">
      <c r="A180" s="31"/>
      <c r="B180" s="31"/>
      <c r="C180" s="31"/>
      <c r="D180" s="31"/>
      <c r="E180" s="31"/>
      <c r="F180" s="31"/>
      <c r="G180" s="31"/>
      <c r="H180" s="23" t="str">
        <f t="shared" si="21"/>
        <v/>
      </c>
      <c r="I180" s="31"/>
    </row>
    <row r="181" ht="18.75" customHeight="1">
      <c r="A181" s="30"/>
      <c r="B181" s="30"/>
      <c r="C181" s="30"/>
      <c r="D181" s="30"/>
      <c r="E181" s="30"/>
      <c r="F181" s="30"/>
      <c r="G181" s="30"/>
      <c r="H181" s="27" t="str">
        <f t="shared" si="21"/>
        <v/>
      </c>
      <c r="I181" s="30"/>
    </row>
    <row r="182" ht="18.75" customHeight="1">
      <c r="A182" s="31"/>
      <c r="B182" s="31"/>
      <c r="C182" s="31"/>
      <c r="D182" s="31"/>
      <c r="E182" s="31"/>
      <c r="F182" s="31"/>
      <c r="G182" s="31"/>
      <c r="H182" s="23"/>
      <c r="I182" s="31"/>
    </row>
    <row r="183" ht="18.75" customHeight="1">
      <c r="A183" s="30"/>
      <c r="B183" s="30"/>
      <c r="C183" s="30"/>
      <c r="D183" s="30"/>
      <c r="E183" s="30"/>
      <c r="F183" s="30"/>
      <c r="G183" s="30"/>
      <c r="H183" s="27" t="str">
        <f t="shared" ref="H183:H189" si="22">IF(AND(F183="", G183=""), "", SUM($F$12:F183)-SUM($G$12:G183))</f>
        <v/>
      </c>
      <c r="I183" s="30"/>
    </row>
    <row r="184" ht="18.75" customHeight="1">
      <c r="A184" s="31"/>
      <c r="B184" s="31"/>
      <c r="C184" s="31"/>
      <c r="D184" s="31"/>
      <c r="E184" s="31"/>
      <c r="F184" s="31"/>
      <c r="G184" s="31"/>
      <c r="H184" s="23" t="str">
        <f t="shared" si="22"/>
        <v/>
      </c>
      <c r="I184" s="31"/>
    </row>
    <row r="185" ht="18.75" customHeight="1">
      <c r="A185" s="30"/>
      <c r="B185" s="30"/>
      <c r="C185" s="30"/>
      <c r="D185" s="30"/>
      <c r="E185" s="30"/>
      <c r="F185" s="30"/>
      <c r="G185" s="30"/>
      <c r="H185" s="27" t="str">
        <f t="shared" si="22"/>
        <v/>
      </c>
      <c r="I185" s="30"/>
    </row>
    <row r="186" ht="18.75" customHeight="1">
      <c r="A186" s="31"/>
      <c r="B186" s="31"/>
      <c r="C186" s="31"/>
      <c r="D186" s="31"/>
      <c r="E186" s="31"/>
      <c r="F186" s="31"/>
      <c r="G186" s="31"/>
      <c r="H186" s="23" t="str">
        <f t="shared" si="22"/>
        <v/>
      </c>
      <c r="I186" s="31"/>
    </row>
    <row r="187" ht="18.75" customHeight="1">
      <c r="A187" s="30"/>
      <c r="B187" s="30"/>
      <c r="C187" s="30"/>
      <c r="D187" s="30"/>
      <c r="E187" s="30"/>
      <c r="F187" s="30"/>
      <c r="G187" s="30"/>
      <c r="H187" s="27" t="str">
        <f t="shared" si="22"/>
        <v/>
      </c>
      <c r="I187" s="30"/>
    </row>
    <row r="188" ht="18.75" customHeight="1">
      <c r="A188" s="31"/>
      <c r="B188" s="31"/>
      <c r="C188" s="31"/>
      <c r="D188" s="31"/>
      <c r="E188" s="31"/>
      <c r="F188" s="31"/>
      <c r="G188" s="31"/>
      <c r="H188" s="23" t="str">
        <f t="shared" si="22"/>
        <v/>
      </c>
      <c r="I188" s="31"/>
    </row>
    <row r="189" ht="18.75" customHeight="1">
      <c r="A189" s="30"/>
      <c r="B189" s="30"/>
      <c r="C189" s="30"/>
      <c r="D189" s="30"/>
      <c r="E189" s="30"/>
      <c r="F189" s="30"/>
      <c r="G189" s="30"/>
      <c r="H189" s="27" t="str">
        <f t="shared" si="22"/>
        <v/>
      </c>
      <c r="I189" s="30"/>
    </row>
    <row r="190" ht="18.75" customHeight="1">
      <c r="A190" s="31"/>
      <c r="B190" s="31"/>
      <c r="C190" s="31"/>
      <c r="D190" s="31"/>
      <c r="E190" s="31"/>
      <c r="F190" s="31"/>
      <c r="G190" s="31"/>
      <c r="H190" s="23"/>
      <c r="I190" s="31"/>
    </row>
    <row r="191" ht="18.75" customHeight="1">
      <c r="A191" s="30"/>
      <c r="B191" s="30"/>
      <c r="C191" s="30"/>
      <c r="D191" s="30"/>
      <c r="E191" s="30"/>
      <c r="F191" s="30"/>
      <c r="G191" s="30"/>
      <c r="H191" s="27" t="str">
        <f t="shared" ref="H191:H197" si="23">IF(AND(F191="", G191=""), "", SUM($F$12:F191)-SUM($G$12:G191))</f>
        <v/>
      </c>
      <c r="I191" s="30"/>
    </row>
    <row r="192" ht="18.75" customHeight="1">
      <c r="A192" s="31"/>
      <c r="B192" s="31"/>
      <c r="C192" s="31"/>
      <c r="D192" s="31"/>
      <c r="E192" s="31"/>
      <c r="F192" s="31"/>
      <c r="G192" s="31"/>
      <c r="H192" s="23" t="str">
        <f t="shared" si="23"/>
        <v/>
      </c>
      <c r="I192" s="31"/>
    </row>
    <row r="193" ht="18.75" customHeight="1">
      <c r="A193" s="30"/>
      <c r="B193" s="30"/>
      <c r="C193" s="30"/>
      <c r="D193" s="30"/>
      <c r="E193" s="30"/>
      <c r="F193" s="30"/>
      <c r="G193" s="30"/>
      <c r="H193" s="27" t="str">
        <f t="shared" si="23"/>
        <v/>
      </c>
      <c r="I193" s="30"/>
    </row>
    <row r="194" ht="18.75" customHeight="1">
      <c r="A194" s="31"/>
      <c r="B194" s="31"/>
      <c r="C194" s="31"/>
      <c r="D194" s="31"/>
      <c r="E194" s="31"/>
      <c r="F194" s="31"/>
      <c r="G194" s="31"/>
      <c r="H194" s="23" t="str">
        <f t="shared" si="23"/>
        <v/>
      </c>
      <c r="I194" s="31"/>
    </row>
    <row r="195" ht="18.75" customHeight="1">
      <c r="A195" s="30"/>
      <c r="B195" s="30"/>
      <c r="C195" s="30"/>
      <c r="D195" s="30"/>
      <c r="E195" s="30"/>
      <c r="F195" s="30"/>
      <c r="G195" s="30"/>
      <c r="H195" s="27" t="str">
        <f t="shared" si="23"/>
        <v/>
      </c>
      <c r="I195" s="30"/>
    </row>
    <row r="196" ht="18.75" customHeight="1">
      <c r="A196" s="31"/>
      <c r="B196" s="31"/>
      <c r="C196" s="31"/>
      <c r="D196" s="31"/>
      <c r="E196" s="31"/>
      <c r="F196" s="31"/>
      <c r="G196" s="31"/>
      <c r="H196" s="23" t="str">
        <f t="shared" si="23"/>
        <v/>
      </c>
      <c r="I196" s="31"/>
    </row>
    <row r="197" ht="18.75" customHeight="1">
      <c r="A197" s="30"/>
      <c r="B197" s="30"/>
      <c r="C197" s="30"/>
      <c r="D197" s="30"/>
      <c r="E197" s="30"/>
      <c r="F197" s="30"/>
      <c r="G197" s="30"/>
      <c r="H197" s="27" t="str">
        <f t="shared" si="23"/>
        <v/>
      </c>
      <c r="I197" s="30"/>
    </row>
    <row r="198" ht="18.75" customHeight="1">
      <c r="A198" s="31"/>
      <c r="B198" s="31"/>
      <c r="C198" s="31"/>
      <c r="D198" s="31"/>
      <c r="E198" s="31"/>
      <c r="F198" s="31"/>
      <c r="G198" s="31"/>
      <c r="H198" s="23"/>
      <c r="I198" s="31"/>
    </row>
    <row r="199" ht="18.75" customHeight="1">
      <c r="A199" s="30"/>
      <c r="B199" s="30"/>
      <c r="C199" s="30"/>
      <c r="D199" s="30"/>
      <c r="E199" s="30"/>
      <c r="F199" s="30"/>
      <c r="G199" s="30"/>
      <c r="H199" s="27" t="str">
        <f t="shared" ref="H199:H205" si="24">IF(AND(F199="", G199=""), "", SUM($F$12:F199)-SUM($G$12:G199))</f>
        <v/>
      </c>
      <c r="I199" s="30"/>
    </row>
    <row r="200" ht="18.75" customHeight="1">
      <c r="A200" s="31"/>
      <c r="B200" s="31"/>
      <c r="C200" s="31"/>
      <c r="D200" s="31"/>
      <c r="E200" s="31"/>
      <c r="F200" s="31"/>
      <c r="G200" s="31"/>
      <c r="H200" s="23" t="str">
        <f t="shared" si="24"/>
        <v/>
      </c>
      <c r="I200" s="31"/>
    </row>
    <row r="201" ht="18.75" customHeight="1">
      <c r="A201" s="30"/>
      <c r="B201" s="30"/>
      <c r="C201" s="30"/>
      <c r="D201" s="30"/>
      <c r="E201" s="30"/>
      <c r="F201" s="30"/>
      <c r="G201" s="30"/>
      <c r="H201" s="27" t="str">
        <f t="shared" si="24"/>
        <v/>
      </c>
      <c r="I201" s="30"/>
    </row>
    <row r="202" ht="18.75" customHeight="1">
      <c r="A202" s="31"/>
      <c r="B202" s="31"/>
      <c r="C202" s="31"/>
      <c r="D202" s="31"/>
      <c r="E202" s="31"/>
      <c r="F202" s="31"/>
      <c r="G202" s="31"/>
      <c r="H202" s="23" t="str">
        <f t="shared" si="24"/>
        <v/>
      </c>
      <c r="I202" s="31"/>
    </row>
    <row r="203" ht="18.75" customHeight="1">
      <c r="A203" s="30"/>
      <c r="B203" s="30"/>
      <c r="C203" s="30"/>
      <c r="D203" s="30"/>
      <c r="E203" s="30"/>
      <c r="F203" s="30"/>
      <c r="G203" s="30"/>
      <c r="H203" s="27" t="str">
        <f t="shared" si="24"/>
        <v/>
      </c>
      <c r="I203" s="30"/>
    </row>
    <row r="204" ht="18.75" customHeight="1">
      <c r="A204" s="31"/>
      <c r="B204" s="31"/>
      <c r="C204" s="31"/>
      <c r="D204" s="31"/>
      <c r="E204" s="31"/>
      <c r="F204" s="31"/>
      <c r="G204" s="31"/>
      <c r="H204" s="23" t="str">
        <f t="shared" si="24"/>
        <v/>
      </c>
      <c r="I204" s="31"/>
    </row>
    <row r="205" ht="18.75" customHeight="1">
      <c r="A205" s="30"/>
      <c r="B205" s="30"/>
      <c r="C205" s="30"/>
      <c r="D205" s="30"/>
      <c r="E205" s="30"/>
      <c r="F205" s="30"/>
      <c r="G205" s="30"/>
      <c r="H205" s="27" t="str">
        <f t="shared" si="24"/>
        <v/>
      </c>
      <c r="I205" s="30"/>
    </row>
    <row r="206" ht="18.75" customHeight="1">
      <c r="A206" s="31"/>
      <c r="B206" s="31"/>
      <c r="C206" s="31"/>
      <c r="D206" s="31"/>
      <c r="E206" s="31"/>
      <c r="F206" s="31"/>
      <c r="G206" s="31"/>
      <c r="H206" s="23"/>
      <c r="I206" s="31"/>
    </row>
    <row r="207" ht="18.75" customHeight="1">
      <c r="A207" s="30"/>
      <c r="B207" s="30"/>
      <c r="C207" s="30"/>
      <c r="D207" s="30"/>
      <c r="E207" s="30"/>
      <c r="F207" s="30"/>
      <c r="G207" s="30"/>
      <c r="H207" s="27" t="str">
        <f t="shared" ref="H207:H213" si="25">IF(AND(F207="", G207=""), "", SUM($F$12:F207)-SUM($G$12:G207))</f>
        <v/>
      </c>
      <c r="I207" s="30"/>
    </row>
    <row r="208" ht="18.75" customHeight="1">
      <c r="A208" s="31"/>
      <c r="B208" s="31"/>
      <c r="C208" s="31"/>
      <c r="D208" s="31"/>
      <c r="E208" s="31"/>
      <c r="F208" s="31"/>
      <c r="G208" s="31"/>
      <c r="H208" s="23" t="str">
        <f t="shared" si="25"/>
        <v/>
      </c>
      <c r="I208" s="31"/>
    </row>
    <row r="209" ht="18.75" customHeight="1">
      <c r="A209" s="30"/>
      <c r="B209" s="30"/>
      <c r="C209" s="30"/>
      <c r="D209" s="30"/>
      <c r="E209" s="30"/>
      <c r="F209" s="30"/>
      <c r="G209" s="30"/>
      <c r="H209" s="27" t="str">
        <f t="shared" si="25"/>
        <v/>
      </c>
      <c r="I209" s="30"/>
    </row>
    <row r="210" ht="18.75" customHeight="1">
      <c r="A210" s="31"/>
      <c r="B210" s="31"/>
      <c r="C210" s="31"/>
      <c r="D210" s="31"/>
      <c r="E210" s="31"/>
      <c r="F210" s="31"/>
      <c r="G210" s="31"/>
      <c r="H210" s="23" t="str">
        <f t="shared" si="25"/>
        <v/>
      </c>
      <c r="I210" s="31"/>
    </row>
    <row r="211" ht="18.75" customHeight="1">
      <c r="A211" s="30"/>
      <c r="B211" s="30"/>
      <c r="C211" s="30"/>
      <c r="D211" s="30"/>
      <c r="E211" s="30"/>
      <c r="F211" s="30"/>
      <c r="G211" s="30"/>
      <c r="H211" s="27" t="str">
        <f t="shared" si="25"/>
        <v/>
      </c>
      <c r="I211" s="30"/>
    </row>
    <row r="212" ht="18.75" customHeight="1">
      <c r="A212" s="31"/>
      <c r="B212" s="31"/>
      <c r="C212" s="31"/>
      <c r="D212" s="31"/>
      <c r="E212" s="31"/>
      <c r="F212" s="31"/>
      <c r="G212" s="31"/>
      <c r="H212" s="23" t="str">
        <f t="shared" si="25"/>
        <v/>
      </c>
      <c r="I212" s="31"/>
    </row>
    <row r="213" ht="18.75" customHeight="1">
      <c r="A213" s="30"/>
      <c r="B213" s="30"/>
      <c r="C213" s="30"/>
      <c r="D213" s="30"/>
      <c r="E213" s="30"/>
      <c r="F213" s="30"/>
      <c r="G213" s="30"/>
      <c r="H213" s="27" t="str">
        <f t="shared" si="25"/>
        <v/>
      </c>
      <c r="I213" s="30"/>
    </row>
    <row r="214" ht="18.75" customHeight="1">
      <c r="A214" s="31"/>
      <c r="B214" s="31"/>
      <c r="C214" s="31"/>
      <c r="D214" s="31"/>
      <c r="E214" s="31"/>
      <c r="F214" s="31"/>
      <c r="G214" s="31"/>
      <c r="H214" s="23"/>
      <c r="I214" s="31"/>
    </row>
    <row r="215" ht="18.75" customHeight="1">
      <c r="A215" s="30"/>
      <c r="B215" s="30"/>
      <c r="C215" s="30"/>
      <c r="D215" s="30"/>
      <c r="E215" s="30"/>
      <c r="F215" s="30"/>
      <c r="G215" s="30"/>
      <c r="H215" s="27" t="str">
        <f t="shared" ref="H215:H221" si="26">IF(AND(F215="", G215=""), "", SUM($F$12:F215)-SUM($G$12:G215))</f>
        <v/>
      </c>
      <c r="I215" s="30"/>
    </row>
    <row r="216" ht="18.75" customHeight="1">
      <c r="A216" s="31"/>
      <c r="B216" s="31"/>
      <c r="C216" s="31"/>
      <c r="D216" s="31"/>
      <c r="E216" s="31"/>
      <c r="F216" s="31"/>
      <c r="G216" s="31"/>
      <c r="H216" s="23" t="str">
        <f t="shared" si="26"/>
        <v/>
      </c>
      <c r="I216" s="31"/>
    </row>
    <row r="217" ht="18.75" customHeight="1">
      <c r="A217" s="30"/>
      <c r="B217" s="30"/>
      <c r="C217" s="30"/>
      <c r="D217" s="30"/>
      <c r="E217" s="30"/>
      <c r="F217" s="30"/>
      <c r="G217" s="30"/>
      <c r="H217" s="27" t="str">
        <f t="shared" si="26"/>
        <v/>
      </c>
      <c r="I217" s="30"/>
    </row>
    <row r="218" ht="18.75" customHeight="1">
      <c r="A218" s="31"/>
      <c r="B218" s="31"/>
      <c r="C218" s="31"/>
      <c r="D218" s="31"/>
      <c r="E218" s="31"/>
      <c r="F218" s="31"/>
      <c r="G218" s="31"/>
      <c r="H218" s="23" t="str">
        <f t="shared" si="26"/>
        <v/>
      </c>
      <c r="I218" s="31"/>
    </row>
    <row r="219" ht="18.75" customHeight="1">
      <c r="A219" s="30"/>
      <c r="B219" s="30"/>
      <c r="C219" s="30"/>
      <c r="D219" s="30"/>
      <c r="E219" s="30"/>
      <c r="F219" s="30"/>
      <c r="G219" s="30"/>
      <c r="H219" s="27" t="str">
        <f t="shared" si="26"/>
        <v/>
      </c>
      <c r="I219" s="30"/>
    </row>
    <row r="220" ht="18.75" customHeight="1">
      <c r="A220" s="31"/>
      <c r="B220" s="31"/>
      <c r="C220" s="31"/>
      <c r="D220" s="31"/>
      <c r="E220" s="31"/>
      <c r="F220" s="31"/>
      <c r="G220" s="31"/>
      <c r="H220" s="23" t="str">
        <f t="shared" si="26"/>
        <v/>
      </c>
      <c r="I220" s="31"/>
    </row>
    <row r="221" ht="18.75" customHeight="1">
      <c r="A221" s="30"/>
      <c r="B221" s="30"/>
      <c r="C221" s="30"/>
      <c r="D221" s="30"/>
      <c r="E221" s="30"/>
      <c r="F221" s="30"/>
      <c r="G221" s="30"/>
      <c r="H221" s="27" t="str">
        <f t="shared" si="26"/>
        <v/>
      </c>
      <c r="I221" s="30"/>
    </row>
    <row r="222" ht="18.75" customHeight="1">
      <c r="A222" s="31"/>
      <c r="B222" s="31"/>
      <c r="C222" s="31"/>
      <c r="D222" s="31"/>
      <c r="E222" s="31"/>
      <c r="F222" s="31"/>
      <c r="G222" s="31"/>
      <c r="H222" s="23"/>
      <c r="I222" s="31"/>
    </row>
    <row r="223" ht="18.75" customHeight="1">
      <c r="A223" s="30"/>
      <c r="B223" s="30"/>
      <c r="C223" s="30"/>
      <c r="D223" s="30"/>
      <c r="E223" s="30"/>
      <c r="F223" s="30"/>
      <c r="G223" s="30"/>
      <c r="H223" s="27" t="str">
        <f t="shared" ref="H223:H229" si="27">IF(AND(F223="", G223=""), "", SUM($F$12:F223)-SUM($G$12:G223))</f>
        <v/>
      </c>
      <c r="I223" s="30"/>
    </row>
    <row r="224" ht="18.75" customHeight="1">
      <c r="A224" s="31"/>
      <c r="B224" s="31"/>
      <c r="C224" s="31"/>
      <c r="D224" s="31"/>
      <c r="E224" s="31"/>
      <c r="F224" s="31"/>
      <c r="G224" s="31"/>
      <c r="H224" s="23" t="str">
        <f t="shared" si="27"/>
        <v/>
      </c>
      <c r="I224" s="31"/>
    </row>
    <row r="225" ht="18.75" customHeight="1">
      <c r="A225" s="30"/>
      <c r="B225" s="30"/>
      <c r="C225" s="30"/>
      <c r="D225" s="30"/>
      <c r="E225" s="30"/>
      <c r="F225" s="30"/>
      <c r="G225" s="30"/>
      <c r="H225" s="27" t="str">
        <f t="shared" si="27"/>
        <v/>
      </c>
      <c r="I225" s="30"/>
    </row>
    <row r="226" ht="18.75" customHeight="1">
      <c r="A226" s="31"/>
      <c r="B226" s="31"/>
      <c r="C226" s="31"/>
      <c r="D226" s="31"/>
      <c r="E226" s="31"/>
      <c r="F226" s="31"/>
      <c r="G226" s="31"/>
      <c r="H226" s="23" t="str">
        <f t="shared" si="27"/>
        <v/>
      </c>
      <c r="I226" s="31"/>
    </row>
    <row r="227" ht="18.75" customHeight="1">
      <c r="A227" s="30"/>
      <c r="B227" s="30"/>
      <c r="C227" s="30"/>
      <c r="D227" s="30"/>
      <c r="E227" s="30"/>
      <c r="F227" s="30"/>
      <c r="G227" s="30"/>
      <c r="H227" s="27" t="str">
        <f t="shared" si="27"/>
        <v/>
      </c>
      <c r="I227" s="30"/>
    </row>
    <row r="228" ht="18.75" customHeight="1">
      <c r="A228" s="31"/>
      <c r="B228" s="31"/>
      <c r="C228" s="31"/>
      <c r="D228" s="31"/>
      <c r="E228" s="31"/>
      <c r="F228" s="31"/>
      <c r="G228" s="31"/>
      <c r="H228" s="23" t="str">
        <f t="shared" si="27"/>
        <v/>
      </c>
      <c r="I228" s="31"/>
    </row>
    <row r="229" ht="18.75" customHeight="1">
      <c r="A229" s="30"/>
      <c r="B229" s="30"/>
      <c r="C229" s="30"/>
      <c r="D229" s="30"/>
      <c r="E229" s="30"/>
      <c r="F229" s="30"/>
      <c r="G229" s="30"/>
      <c r="H229" s="27" t="str">
        <f t="shared" si="27"/>
        <v/>
      </c>
      <c r="I229" s="30"/>
    </row>
    <row r="230" ht="18.75" customHeight="1">
      <c r="A230" s="31"/>
      <c r="B230" s="31"/>
      <c r="C230" s="31"/>
      <c r="D230" s="31"/>
      <c r="E230" s="31"/>
      <c r="F230" s="31"/>
      <c r="G230" s="31"/>
      <c r="H230" s="23"/>
      <c r="I230" s="31"/>
    </row>
    <row r="231" ht="18.75" customHeight="1">
      <c r="A231" s="30"/>
      <c r="B231" s="30"/>
      <c r="C231" s="30"/>
      <c r="D231" s="30"/>
      <c r="E231" s="30"/>
      <c r="F231" s="30"/>
      <c r="G231" s="30"/>
      <c r="H231" s="27" t="str">
        <f t="shared" ref="H231:H237" si="28">IF(AND(F231="", G231=""), "", SUM($F$12:F231)-SUM($G$12:G231))</f>
        <v/>
      </c>
      <c r="I231" s="30"/>
    </row>
    <row r="232" ht="18.75" customHeight="1">
      <c r="A232" s="31"/>
      <c r="B232" s="31"/>
      <c r="C232" s="31"/>
      <c r="D232" s="31"/>
      <c r="E232" s="31"/>
      <c r="F232" s="31"/>
      <c r="G232" s="31"/>
      <c r="H232" s="23" t="str">
        <f t="shared" si="28"/>
        <v/>
      </c>
      <c r="I232" s="31"/>
    </row>
    <row r="233" ht="18.75" customHeight="1">
      <c r="A233" s="30"/>
      <c r="B233" s="30"/>
      <c r="C233" s="30"/>
      <c r="D233" s="30"/>
      <c r="E233" s="30"/>
      <c r="F233" s="30"/>
      <c r="G233" s="30"/>
      <c r="H233" s="27" t="str">
        <f t="shared" si="28"/>
        <v/>
      </c>
      <c r="I233" s="30"/>
    </row>
    <row r="234" ht="18.75" customHeight="1">
      <c r="A234" s="31"/>
      <c r="B234" s="31"/>
      <c r="C234" s="31"/>
      <c r="D234" s="31"/>
      <c r="E234" s="31"/>
      <c r="F234" s="31"/>
      <c r="G234" s="31"/>
      <c r="H234" s="23" t="str">
        <f t="shared" si="28"/>
        <v/>
      </c>
      <c r="I234" s="31"/>
    </row>
    <row r="235" ht="18.75" customHeight="1">
      <c r="A235" s="30"/>
      <c r="B235" s="30"/>
      <c r="C235" s="30"/>
      <c r="D235" s="30"/>
      <c r="E235" s="30"/>
      <c r="F235" s="30"/>
      <c r="G235" s="30"/>
      <c r="H235" s="27" t="str">
        <f t="shared" si="28"/>
        <v/>
      </c>
      <c r="I235" s="30"/>
    </row>
    <row r="236" ht="18.75" customHeight="1">
      <c r="A236" s="31"/>
      <c r="B236" s="31"/>
      <c r="C236" s="31"/>
      <c r="D236" s="31"/>
      <c r="E236" s="31"/>
      <c r="F236" s="31"/>
      <c r="G236" s="31"/>
      <c r="H236" s="23" t="str">
        <f t="shared" si="28"/>
        <v/>
      </c>
      <c r="I236" s="31"/>
    </row>
    <row r="237" ht="18.75" customHeight="1">
      <c r="A237" s="30"/>
      <c r="B237" s="30"/>
      <c r="C237" s="30"/>
      <c r="D237" s="30"/>
      <c r="E237" s="30"/>
      <c r="F237" s="30"/>
      <c r="G237" s="30"/>
      <c r="H237" s="27" t="str">
        <f t="shared" si="28"/>
        <v/>
      </c>
      <c r="I237" s="30"/>
    </row>
    <row r="238" ht="18.75" customHeight="1">
      <c r="A238" s="31"/>
      <c r="B238" s="31"/>
      <c r="C238" s="31"/>
      <c r="D238" s="31"/>
      <c r="E238" s="31"/>
      <c r="F238" s="31"/>
      <c r="G238" s="31"/>
      <c r="H238" s="23"/>
      <c r="I238" s="31"/>
    </row>
    <row r="239" ht="18.75" customHeight="1">
      <c r="A239" s="30"/>
      <c r="B239" s="30"/>
      <c r="C239" s="30"/>
      <c r="D239" s="30"/>
      <c r="E239" s="30"/>
      <c r="F239" s="30"/>
      <c r="G239" s="30"/>
      <c r="H239" s="27" t="str">
        <f t="shared" ref="H239:H245" si="29">IF(AND(F239="", G239=""), "", SUM($F$12:F239)-SUM($G$12:G239))</f>
        <v/>
      </c>
      <c r="I239" s="30"/>
    </row>
    <row r="240" ht="18.75" customHeight="1">
      <c r="A240" s="31"/>
      <c r="B240" s="31"/>
      <c r="C240" s="31"/>
      <c r="D240" s="31"/>
      <c r="E240" s="31"/>
      <c r="F240" s="31"/>
      <c r="G240" s="31"/>
      <c r="H240" s="23" t="str">
        <f t="shared" si="29"/>
        <v/>
      </c>
      <c r="I240" s="31"/>
    </row>
    <row r="241" ht="18.75" customHeight="1">
      <c r="A241" s="30"/>
      <c r="B241" s="30"/>
      <c r="C241" s="30"/>
      <c r="D241" s="30"/>
      <c r="E241" s="30"/>
      <c r="F241" s="30"/>
      <c r="G241" s="30"/>
      <c r="H241" s="27" t="str">
        <f t="shared" si="29"/>
        <v/>
      </c>
      <c r="I241" s="30"/>
    </row>
    <row r="242" ht="18.75" customHeight="1">
      <c r="A242" s="31"/>
      <c r="B242" s="31"/>
      <c r="C242" s="31"/>
      <c r="D242" s="31"/>
      <c r="E242" s="31"/>
      <c r="F242" s="31"/>
      <c r="G242" s="31"/>
      <c r="H242" s="23" t="str">
        <f t="shared" si="29"/>
        <v/>
      </c>
      <c r="I242" s="31"/>
    </row>
    <row r="243" ht="18.75" customHeight="1">
      <c r="A243" s="30"/>
      <c r="B243" s="30"/>
      <c r="C243" s="30"/>
      <c r="D243" s="30"/>
      <c r="E243" s="30"/>
      <c r="F243" s="30"/>
      <c r="G243" s="30"/>
      <c r="H243" s="27" t="str">
        <f t="shared" si="29"/>
        <v/>
      </c>
      <c r="I243" s="30"/>
    </row>
    <row r="244" ht="18.75" customHeight="1">
      <c r="A244" s="31"/>
      <c r="B244" s="31"/>
      <c r="C244" s="31"/>
      <c r="D244" s="31"/>
      <c r="E244" s="31"/>
      <c r="F244" s="31"/>
      <c r="G244" s="31"/>
      <c r="H244" s="23" t="str">
        <f t="shared" si="29"/>
        <v/>
      </c>
      <c r="I244" s="31"/>
    </row>
    <row r="245" ht="18.75" customHeight="1">
      <c r="A245" s="30"/>
      <c r="B245" s="30"/>
      <c r="C245" s="30"/>
      <c r="D245" s="30"/>
      <c r="E245" s="30"/>
      <c r="F245" s="30"/>
      <c r="G245" s="30"/>
      <c r="H245" s="27" t="str">
        <f t="shared" si="29"/>
        <v/>
      </c>
      <c r="I245" s="30"/>
    </row>
    <row r="246" ht="18.75" customHeight="1">
      <c r="A246" s="31"/>
      <c r="B246" s="31"/>
      <c r="C246" s="31"/>
      <c r="D246" s="31"/>
      <c r="E246" s="31"/>
      <c r="F246" s="31"/>
      <c r="G246" s="31"/>
      <c r="H246" s="23"/>
      <c r="I246" s="31"/>
    </row>
    <row r="247" ht="18.75" customHeight="1">
      <c r="A247" s="30"/>
      <c r="B247" s="30"/>
      <c r="C247" s="30"/>
      <c r="D247" s="30"/>
      <c r="E247" s="30"/>
      <c r="F247" s="30"/>
      <c r="G247" s="30"/>
      <c r="H247" s="27" t="str">
        <f t="shared" ref="H247:H253" si="30">IF(AND(F247="", G247=""), "", SUM($F$12:F247)-SUM($G$12:G247))</f>
        <v/>
      </c>
      <c r="I247" s="30"/>
    </row>
    <row r="248" ht="18.75" customHeight="1">
      <c r="A248" s="31"/>
      <c r="B248" s="31"/>
      <c r="C248" s="31"/>
      <c r="D248" s="31"/>
      <c r="E248" s="31"/>
      <c r="F248" s="31"/>
      <c r="G248" s="31"/>
      <c r="H248" s="23" t="str">
        <f t="shared" si="30"/>
        <v/>
      </c>
      <c r="I248" s="31"/>
    </row>
    <row r="249" ht="18.75" customHeight="1">
      <c r="A249" s="30"/>
      <c r="B249" s="30"/>
      <c r="C249" s="30"/>
      <c r="D249" s="30"/>
      <c r="E249" s="30"/>
      <c r="F249" s="30"/>
      <c r="G249" s="30"/>
      <c r="H249" s="27" t="str">
        <f t="shared" si="30"/>
        <v/>
      </c>
      <c r="I249" s="30"/>
    </row>
    <row r="250" ht="18.75" customHeight="1">
      <c r="A250" s="31"/>
      <c r="B250" s="31"/>
      <c r="C250" s="31"/>
      <c r="D250" s="31"/>
      <c r="E250" s="31"/>
      <c r="F250" s="31"/>
      <c r="G250" s="31"/>
      <c r="H250" s="23" t="str">
        <f t="shared" si="30"/>
        <v/>
      </c>
      <c r="I250" s="31"/>
    </row>
    <row r="251" ht="18.75" customHeight="1">
      <c r="A251" s="30"/>
      <c r="B251" s="30"/>
      <c r="C251" s="30"/>
      <c r="D251" s="30"/>
      <c r="E251" s="30"/>
      <c r="F251" s="30"/>
      <c r="G251" s="30"/>
      <c r="H251" s="27" t="str">
        <f t="shared" si="30"/>
        <v/>
      </c>
      <c r="I251" s="30"/>
    </row>
    <row r="252" ht="18.75" customHeight="1">
      <c r="A252" s="31"/>
      <c r="B252" s="31"/>
      <c r="C252" s="31"/>
      <c r="D252" s="31"/>
      <c r="E252" s="31"/>
      <c r="F252" s="31"/>
      <c r="G252" s="31"/>
      <c r="H252" s="23" t="str">
        <f t="shared" si="30"/>
        <v/>
      </c>
      <c r="I252" s="31"/>
    </row>
    <row r="253" ht="18.75" customHeight="1">
      <c r="A253" s="30"/>
      <c r="B253" s="30"/>
      <c r="C253" s="30"/>
      <c r="D253" s="30"/>
      <c r="E253" s="30"/>
      <c r="F253" s="30"/>
      <c r="G253" s="30"/>
      <c r="H253" s="27" t="str">
        <f t="shared" si="30"/>
        <v/>
      </c>
      <c r="I253" s="30"/>
    </row>
    <row r="254" ht="18.75" customHeight="1">
      <c r="A254" s="31"/>
      <c r="B254" s="31"/>
      <c r="C254" s="31"/>
      <c r="D254" s="31"/>
      <c r="E254" s="31"/>
      <c r="F254" s="31"/>
      <c r="G254" s="31"/>
      <c r="H254" s="23"/>
      <c r="I254" s="31"/>
    </row>
    <row r="255" ht="18.75" customHeight="1">
      <c r="A255" s="30"/>
      <c r="B255" s="30"/>
      <c r="C255" s="30"/>
      <c r="D255" s="30"/>
      <c r="E255" s="30"/>
      <c r="F255" s="30"/>
      <c r="G255" s="30"/>
      <c r="H255" s="27" t="str">
        <f t="shared" ref="H255:H261" si="31">IF(AND(F255="", G255=""), "", SUM($F$12:F255)-SUM($G$12:G255))</f>
        <v/>
      </c>
      <c r="I255" s="30"/>
    </row>
    <row r="256" ht="18.75" customHeight="1">
      <c r="A256" s="31"/>
      <c r="B256" s="31"/>
      <c r="C256" s="31"/>
      <c r="D256" s="31"/>
      <c r="E256" s="31"/>
      <c r="F256" s="31"/>
      <c r="G256" s="31"/>
      <c r="H256" s="23" t="str">
        <f t="shared" si="31"/>
        <v/>
      </c>
      <c r="I256" s="31"/>
    </row>
    <row r="257" ht="18.75" customHeight="1">
      <c r="A257" s="30"/>
      <c r="B257" s="30"/>
      <c r="C257" s="30"/>
      <c r="D257" s="30"/>
      <c r="E257" s="30"/>
      <c r="F257" s="30"/>
      <c r="G257" s="30"/>
      <c r="H257" s="27" t="str">
        <f t="shared" si="31"/>
        <v/>
      </c>
      <c r="I257" s="30"/>
    </row>
    <row r="258" ht="18.75" customHeight="1">
      <c r="A258" s="31"/>
      <c r="B258" s="31"/>
      <c r="C258" s="31"/>
      <c r="D258" s="31"/>
      <c r="E258" s="31"/>
      <c r="F258" s="31"/>
      <c r="G258" s="31"/>
      <c r="H258" s="23" t="str">
        <f t="shared" si="31"/>
        <v/>
      </c>
      <c r="I258" s="31"/>
    </row>
    <row r="259" ht="18.75" customHeight="1">
      <c r="A259" s="30"/>
      <c r="B259" s="30"/>
      <c r="C259" s="30"/>
      <c r="D259" s="30"/>
      <c r="E259" s="30"/>
      <c r="F259" s="30"/>
      <c r="G259" s="30"/>
      <c r="H259" s="27" t="str">
        <f t="shared" si="31"/>
        <v/>
      </c>
      <c r="I259" s="30"/>
    </row>
    <row r="260" ht="18.75" customHeight="1">
      <c r="A260" s="31"/>
      <c r="B260" s="31"/>
      <c r="C260" s="31"/>
      <c r="D260" s="31"/>
      <c r="E260" s="31"/>
      <c r="F260" s="31"/>
      <c r="G260" s="31"/>
      <c r="H260" s="23" t="str">
        <f t="shared" si="31"/>
        <v/>
      </c>
      <c r="I260" s="31"/>
    </row>
    <row r="261" ht="18.75" customHeight="1">
      <c r="A261" s="30"/>
      <c r="B261" s="30"/>
      <c r="C261" s="30"/>
      <c r="D261" s="30"/>
      <c r="E261" s="30"/>
      <c r="F261" s="30"/>
      <c r="G261" s="30"/>
      <c r="H261" s="27" t="str">
        <f t="shared" si="31"/>
        <v/>
      </c>
      <c r="I261" s="30"/>
    </row>
    <row r="262" ht="18.75" customHeight="1">
      <c r="A262" s="31"/>
      <c r="B262" s="31"/>
      <c r="C262" s="31"/>
      <c r="D262" s="31"/>
      <c r="E262" s="31"/>
      <c r="F262" s="31"/>
      <c r="G262" s="31"/>
      <c r="H262" s="23"/>
      <c r="I262" s="31"/>
    </row>
    <row r="263" ht="18.75" customHeight="1">
      <c r="A263" s="30"/>
      <c r="B263" s="30"/>
      <c r="C263" s="30"/>
      <c r="D263" s="30"/>
      <c r="E263" s="30"/>
      <c r="F263" s="30"/>
      <c r="G263" s="30"/>
      <c r="H263" s="27" t="str">
        <f t="shared" ref="H263:H269" si="32">IF(AND(F263="", G263=""), "", SUM($F$12:F263)-SUM($G$12:G263))</f>
        <v/>
      </c>
      <c r="I263" s="30"/>
    </row>
    <row r="264" ht="18.75" customHeight="1">
      <c r="A264" s="31"/>
      <c r="B264" s="31"/>
      <c r="C264" s="31"/>
      <c r="D264" s="31"/>
      <c r="E264" s="31"/>
      <c r="F264" s="31"/>
      <c r="G264" s="31"/>
      <c r="H264" s="23" t="str">
        <f t="shared" si="32"/>
        <v/>
      </c>
      <c r="I264" s="31"/>
    </row>
    <row r="265" ht="18.75" customHeight="1">
      <c r="A265" s="30"/>
      <c r="B265" s="30"/>
      <c r="C265" s="30"/>
      <c r="D265" s="30"/>
      <c r="E265" s="30"/>
      <c r="F265" s="30"/>
      <c r="G265" s="30"/>
      <c r="H265" s="27" t="str">
        <f t="shared" si="32"/>
        <v/>
      </c>
      <c r="I265" s="30"/>
    </row>
    <row r="266" ht="18.75" customHeight="1">
      <c r="A266" s="31"/>
      <c r="B266" s="31"/>
      <c r="C266" s="31"/>
      <c r="D266" s="31"/>
      <c r="E266" s="31"/>
      <c r="F266" s="31"/>
      <c r="G266" s="31"/>
      <c r="H266" s="23" t="str">
        <f t="shared" si="32"/>
        <v/>
      </c>
      <c r="I266" s="31"/>
    </row>
    <row r="267" ht="18.75" customHeight="1">
      <c r="A267" s="30"/>
      <c r="B267" s="30"/>
      <c r="C267" s="30"/>
      <c r="D267" s="30"/>
      <c r="E267" s="30"/>
      <c r="F267" s="30"/>
      <c r="G267" s="30"/>
      <c r="H267" s="27" t="str">
        <f t="shared" si="32"/>
        <v/>
      </c>
      <c r="I267" s="30"/>
    </row>
    <row r="268" ht="18.75" customHeight="1">
      <c r="A268" s="31"/>
      <c r="B268" s="31"/>
      <c r="C268" s="31"/>
      <c r="D268" s="31"/>
      <c r="E268" s="31"/>
      <c r="F268" s="31"/>
      <c r="G268" s="31"/>
      <c r="H268" s="23" t="str">
        <f t="shared" si="32"/>
        <v/>
      </c>
      <c r="I268" s="31"/>
    </row>
    <row r="269" ht="18.75" customHeight="1">
      <c r="A269" s="30"/>
      <c r="B269" s="30"/>
      <c r="C269" s="30"/>
      <c r="D269" s="30"/>
      <c r="E269" s="30"/>
      <c r="F269" s="30"/>
      <c r="G269" s="30"/>
      <c r="H269" s="27" t="str">
        <f t="shared" si="32"/>
        <v/>
      </c>
      <c r="I269" s="30"/>
    </row>
    <row r="270" ht="18.75" customHeight="1">
      <c r="A270" s="31"/>
      <c r="B270" s="31"/>
      <c r="C270" s="31"/>
      <c r="D270" s="31"/>
      <c r="E270" s="31"/>
      <c r="F270" s="31"/>
      <c r="G270" s="31"/>
      <c r="H270" s="23"/>
      <c r="I270" s="31"/>
    </row>
    <row r="271" ht="18.75" customHeight="1">
      <c r="A271" s="30"/>
      <c r="B271" s="30"/>
      <c r="C271" s="30"/>
      <c r="D271" s="30"/>
      <c r="E271" s="30"/>
      <c r="F271" s="30"/>
      <c r="G271" s="30"/>
      <c r="H271" s="27" t="str">
        <f t="shared" ref="H271:H277" si="33">IF(AND(F271="", G271=""), "", SUM($F$12:F271)-SUM($G$12:G271))</f>
        <v/>
      </c>
      <c r="I271" s="30"/>
    </row>
    <row r="272" ht="18.75" customHeight="1">
      <c r="A272" s="31"/>
      <c r="B272" s="31"/>
      <c r="C272" s="31"/>
      <c r="D272" s="31"/>
      <c r="E272" s="31"/>
      <c r="F272" s="31"/>
      <c r="G272" s="31"/>
      <c r="H272" s="23" t="str">
        <f t="shared" si="33"/>
        <v/>
      </c>
      <c r="I272" s="31"/>
    </row>
    <row r="273" ht="18.75" customHeight="1">
      <c r="A273" s="30"/>
      <c r="B273" s="30"/>
      <c r="C273" s="30"/>
      <c r="D273" s="30"/>
      <c r="E273" s="30"/>
      <c r="F273" s="30"/>
      <c r="G273" s="30"/>
      <c r="H273" s="27" t="str">
        <f t="shared" si="33"/>
        <v/>
      </c>
      <c r="I273" s="30"/>
    </row>
    <row r="274" ht="18.75" customHeight="1">
      <c r="A274" s="31"/>
      <c r="B274" s="31"/>
      <c r="C274" s="31"/>
      <c r="D274" s="31"/>
      <c r="E274" s="31"/>
      <c r="F274" s="31"/>
      <c r="G274" s="31"/>
      <c r="H274" s="23" t="str">
        <f t="shared" si="33"/>
        <v/>
      </c>
      <c r="I274" s="31"/>
    </row>
    <row r="275" ht="18.75" customHeight="1">
      <c r="A275" s="30"/>
      <c r="B275" s="30"/>
      <c r="C275" s="30"/>
      <c r="D275" s="30"/>
      <c r="E275" s="30"/>
      <c r="F275" s="30"/>
      <c r="G275" s="30"/>
      <c r="H275" s="27" t="str">
        <f t="shared" si="33"/>
        <v/>
      </c>
      <c r="I275" s="30"/>
    </row>
    <row r="276" ht="18.75" customHeight="1">
      <c r="A276" s="31"/>
      <c r="B276" s="31"/>
      <c r="C276" s="31"/>
      <c r="D276" s="31"/>
      <c r="E276" s="31"/>
      <c r="F276" s="31"/>
      <c r="G276" s="31"/>
      <c r="H276" s="23" t="str">
        <f t="shared" si="33"/>
        <v/>
      </c>
      <c r="I276" s="31"/>
    </row>
    <row r="277" ht="18.75" customHeight="1">
      <c r="A277" s="30"/>
      <c r="B277" s="30"/>
      <c r="C277" s="30"/>
      <c r="D277" s="30"/>
      <c r="E277" s="30"/>
      <c r="F277" s="30"/>
      <c r="G277" s="30"/>
      <c r="H277" s="27" t="str">
        <f t="shared" si="33"/>
        <v/>
      </c>
      <c r="I277" s="30"/>
    </row>
    <row r="278" ht="18.75" customHeight="1">
      <c r="A278" s="31"/>
      <c r="B278" s="31"/>
      <c r="C278" s="31"/>
      <c r="D278" s="31"/>
      <c r="E278" s="31"/>
      <c r="F278" s="31"/>
      <c r="G278" s="31"/>
      <c r="H278" s="23"/>
      <c r="I278" s="31"/>
    </row>
    <row r="279" ht="18.75" customHeight="1">
      <c r="A279" s="30"/>
      <c r="B279" s="30"/>
      <c r="C279" s="30"/>
      <c r="D279" s="30"/>
      <c r="E279" s="30"/>
      <c r="F279" s="30"/>
      <c r="G279" s="30"/>
      <c r="H279" s="27" t="str">
        <f t="shared" ref="H279:H285" si="34">IF(AND(F279="", G279=""), "", SUM($F$12:F279)-SUM($G$12:G279))</f>
        <v/>
      </c>
      <c r="I279" s="30"/>
    </row>
    <row r="280" ht="18.75" customHeight="1">
      <c r="A280" s="31"/>
      <c r="B280" s="31"/>
      <c r="C280" s="31"/>
      <c r="D280" s="31"/>
      <c r="E280" s="31"/>
      <c r="F280" s="31"/>
      <c r="G280" s="31"/>
      <c r="H280" s="23" t="str">
        <f t="shared" si="34"/>
        <v/>
      </c>
      <c r="I280" s="31"/>
    </row>
    <row r="281" ht="18.75" customHeight="1">
      <c r="A281" s="30"/>
      <c r="B281" s="30"/>
      <c r="C281" s="30"/>
      <c r="D281" s="30"/>
      <c r="E281" s="30"/>
      <c r="F281" s="30"/>
      <c r="G281" s="30"/>
      <c r="H281" s="27" t="str">
        <f t="shared" si="34"/>
        <v/>
      </c>
      <c r="I281" s="30"/>
    </row>
    <row r="282" ht="18.75" customHeight="1">
      <c r="A282" s="31"/>
      <c r="B282" s="31"/>
      <c r="C282" s="31"/>
      <c r="D282" s="31"/>
      <c r="E282" s="31"/>
      <c r="F282" s="31"/>
      <c r="G282" s="31"/>
      <c r="H282" s="23" t="str">
        <f t="shared" si="34"/>
        <v/>
      </c>
      <c r="I282" s="31"/>
    </row>
    <row r="283" ht="18.75" customHeight="1">
      <c r="A283" s="30"/>
      <c r="B283" s="30"/>
      <c r="C283" s="30"/>
      <c r="D283" s="30"/>
      <c r="E283" s="30"/>
      <c r="F283" s="30"/>
      <c r="G283" s="30"/>
      <c r="H283" s="27" t="str">
        <f t="shared" si="34"/>
        <v/>
      </c>
      <c r="I283" s="30"/>
    </row>
    <row r="284" ht="18.75" customHeight="1">
      <c r="A284" s="31"/>
      <c r="B284" s="31"/>
      <c r="C284" s="31"/>
      <c r="D284" s="31"/>
      <c r="E284" s="31"/>
      <c r="F284" s="31"/>
      <c r="G284" s="31"/>
      <c r="H284" s="23" t="str">
        <f t="shared" si="34"/>
        <v/>
      </c>
      <c r="I284" s="31"/>
    </row>
    <row r="285" ht="18.75" customHeight="1">
      <c r="A285" s="30"/>
      <c r="B285" s="30"/>
      <c r="C285" s="30"/>
      <c r="D285" s="30"/>
      <c r="E285" s="30"/>
      <c r="F285" s="30"/>
      <c r="G285" s="30"/>
      <c r="H285" s="27" t="str">
        <f t="shared" si="34"/>
        <v/>
      </c>
      <c r="I285" s="30"/>
    </row>
    <row r="286" ht="18.75" customHeight="1">
      <c r="A286" s="31"/>
      <c r="B286" s="31"/>
      <c r="C286" s="31"/>
      <c r="D286" s="31"/>
      <c r="E286" s="31"/>
      <c r="F286" s="31"/>
      <c r="G286" s="31"/>
      <c r="H286" s="23"/>
      <c r="I286" s="31"/>
    </row>
    <row r="287" ht="18.75" customHeight="1">
      <c r="A287" s="30"/>
      <c r="B287" s="30"/>
      <c r="C287" s="30"/>
      <c r="D287" s="30"/>
      <c r="E287" s="30"/>
      <c r="F287" s="30"/>
      <c r="G287" s="30"/>
      <c r="H287" s="27" t="str">
        <f t="shared" ref="H287:H293" si="35">IF(AND(F287="", G287=""), "", SUM($F$12:F287)-SUM($G$12:G287))</f>
        <v/>
      </c>
      <c r="I287" s="30"/>
    </row>
    <row r="288" ht="18.75" customHeight="1">
      <c r="A288" s="31"/>
      <c r="B288" s="31"/>
      <c r="C288" s="31"/>
      <c r="D288" s="31"/>
      <c r="E288" s="31"/>
      <c r="F288" s="31"/>
      <c r="G288" s="31"/>
      <c r="H288" s="23" t="str">
        <f t="shared" si="35"/>
        <v/>
      </c>
      <c r="I288" s="31"/>
    </row>
    <row r="289" ht="18.75" customHeight="1">
      <c r="A289" s="30"/>
      <c r="B289" s="30"/>
      <c r="C289" s="30"/>
      <c r="D289" s="30"/>
      <c r="E289" s="30"/>
      <c r="F289" s="30"/>
      <c r="G289" s="30"/>
      <c r="H289" s="27" t="str">
        <f t="shared" si="35"/>
        <v/>
      </c>
      <c r="I289" s="30"/>
    </row>
    <row r="290" ht="18.75" customHeight="1">
      <c r="A290" s="31"/>
      <c r="B290" s="31"/>
      <c r="C290" s="31"/>
      <c r="D290" s="31"/>
      <c r="E290" s="31"/>
      <c r="F290" s="31"/>
      <c r="G290" s="31"/>
      <c r="H290" s="23" t="str">
        <f t="shared" si="35"/>
        <v/>
      </c>
      <c r="I290" s="31"/>
    </row>
    <row r="291" ht="18.75" customHeight="1">
      <c r="A291" s="30"/>
      <c r="B291" s="30"/>
      <c r="C291" s="30"/>
      <c r="D291" s="30"/>
      <c r="E291" s="30"/>
      <c r="F291" s="30"/>
      <c r="G291" s="30"/>
      <c r="H291" s="27" t="str">
        <f t="shared" si="35"/>
        <v/>
      </c>
      <c r="I291" s="30"/>
    </row>
    <row r="292" ht="18.75" customHeight="1">
      <c r="A292" s="31"/>
      <c r="B292" s="31"/>
      <c r="C292" s="31"/>
      <c r="D292" s="31"/>
      <c r="E292" s="31"/>
      <c r="F292" s="31"/>
      <c r="G292" s="31"/>
      <c r="H292" s="23" t="str">
        <f t="shared" si="35"/>
        <v/>
      </c>
      <c r="I292" s="31"/>
    </row>
    <row r="293" ht="18.75" customHeight="1">
      <c r="A293" s="30"/>
      <c r="B293" s="30"/>
      <c r="C293" s="30"/>
      <c r="D293" s="30"/>
      <c r="E293" s="30"/>
      <c r="F293" s="30"/>
      <c r="G293" s="30"/>
      <c r="H293" s="27" t="str">
        <f t="shared" si="35"/>
        <v/>
      </c>
      <c r="I293" s="30"/>
    </row>
    <row r="294" ht="18.75" customHeight="1">
      <c r="A294" s="31"/>
      <c r="B294" s="31"/>
      <c r="C294" s="31"/>
      <c r="D294" s="31"/>
      <c r="E294" s="31"/>
      <c r="F294" s="31"/>
      <c r="G294" s="31"/>
      <c r="H294" s="23"/>
      <c r="I294" s="31"/>
    </row>
    <row r="295" ht="18.75" customHeight="1">
      <c r="A295" s="30"/>
      <c r="B295" s="30"/>
      <c r="C295" s="30"/>
      <c r="D295" s="30"/>
      <c r="E295" s="30"/>
      <c r="F295" s="30"/>
      <c r="G295" s="30"/>
      <c r="H295" s="27" t="str">
        <f t="shared" ref="H295:H301" si="36">IF(AND(F295="", G295=""), "", SUM($F$12:F295)-SUM($G$12:G295))</f>
        <v/>
      </c>
      <c r="I295" s="30"/>
    </row>
    <row r="296" ht="18.75" customHeight="1">
      <c r="A296" s="31"/>
      <c r="B296" s="31"/>
      <c r="C296" s="31"/>
      <c r="D296" s="31"/>
      <c r="E296" s="31"/>
      <c r="F296" s="31"/>
      <c r="G296" s="31"/>
      <c r="H296" s="23" t="str">
        <f t="shared" si="36"/>
        <v/>
      </c>
      <c r="I296" s="31"/>
    </row>
    <row r="297" ht="18.75" customHeight="1">
      <c r="A297" s="30"/>
      <c r="B297" s="30"/>
      <c r="C297" s="30"/>
      <c r="D297" s="30"/>
      <c r="E297" s="30"/>
      <c r="F297" s="30"/>
      <c r="G297" s="30"/>
      <c r="H297" s="27" t="str">
        <f t="shared" si="36"/>
        <v/>
      </c>
      <c r="I297" s="30"/>
    </row>
    <row r="298" ht="18.75" customHeight="1">
      <c r="A298" s="31"/>
      <c r="B298" s="31"/>
      <c r="C298" s="31"/>
      <c r="D298" s="31"/>
      <c r="E298" s="31"/>
      <c r="F298" s="31"/>
      <c r="G298" s="31"/>
      <c r="H298" s="23" t="str">
        <f t="shared" si="36"/>
        <v/>
      </c>
      <c r="I298" s="31"/>
    </row>
    <row r="299" ht="18.75" customHeight="1">
      <c r="A299" s="30"/>
      <c r="B299" s="30"/>
      <c r="C299" s="30"/>
      <c r="D299" s="30"/>
      <c r="E299" s="30"/>
      <c r="F299" s="30"/>
      <c r="G299" s="30"/>
      <c r="H299" s="27" t="str">
        <f t="shared" si="36"/>
        <v/>
      </c>
      <c r="I299" s="30"/>
    </row>
    <row r="300" ht="18.75" customHeight="1">
      <c r="A300" s="31"/>
      <c r="B300" s="31"/>
      <c r="C300" s="31"/>
      <c r="D300" s="31"/>
      <c r="E300" s="31"/>
      <c r="F300" s="31"/>
      <c r="G300" s="31"/>
      <c r="H300" s="23" t="str">
        <f t="shared" si="36"/>
        <v/>
      </c>
      <c r="I300" s="31"/>
    </row>
    <row r="301" ht="18.75" customHeight="1">
      <c r="A301" s="30"/>
      <c r="B301" s="30"/>
      <c r="C301" s="30"/>
      <c r="D301" s="30"/>
      <c r="E301" s="30"/>
      <c r="F301" s="30"/>
      <c r="G301" s="30"/>
      <c r="H301" s="27" t="str">
        <f t="shared" si="36"/>
        <v/>
      </c>
      <c r="I301" s="30"/>
    </row>
    <row r="302" ht="18.75" customHeight="1">
      <c r="A302" s="31"/>
      <c r="B302" s="31"/>
      <c r="C302" s="31"/>
      <c r="D302" s="31"/>
      <c r="E302" s="31"/>
      <c r="F302" s="31"/>
      <c r="G302" s="31"/>
      <c r="H302" s="23"/>
      <c r="I302" s="31"/>
    </row>
    <row r="303" ht="18.75" customHeight="1">
      <c r="A303" s="30"/>
      <c r="B303" s="30"/>
      <c r="C303" s="30"/>
      <c r="D303" s="30"/>
      <c r="E303" s="30"/>
      <c r="F303" s="30"/>
      <c r="G303" s="30"/>
      <c r="H303" s="27" t="str">
        <f t="shared" ref="H303:H309" si="37">IF(AND(F303="", G303=""), "", SUM($F$12:F303)-SUM($G$12:G303))</f>
        <v/>
      </c>
      <c r="I303" s="30"/>
    </row>
    <row r="304" ht="18.75" customHeight="1">
      <c r="A304" s="31"/>
      <c r="B304" s="31"/>
      <c r="C304" s="31"/>
      <c r="D304" s="31"/>
      <c r="E304" s="31"/>
      <c r="F304" s="31"/>
      <c r="G304" s="31"/>
      <c r="H304" s="23" t="str">
        <f t="shared" si="37"/>
        <v/>
      </c>
      <c r="I304" s="31"/>
    </row>
    <row r="305" ht="18.75" customHeight="1">
      <c r="A305" s="30"/>
      <c r="B305" s="30"/>
      <c r="C305" s="30"/>
      <c r="D305" s="30"/>
      <c r="E305" s="30"/>
      <c r="F305" s="30"/>
      <c r="G305" s="30"/>
      <c r="H305" s="27" t="str">
        <f t="shared" si="37"/>
        <v/>
      </c>
      <c r="I305" s="30"/>
    </row>
    <row r="306" ht="18.75" customHeight="1">
      <c r="A306" s="31"/>
      <c r="B306" s="31"/>
      <c r="C306" s="31"/>
      <c r="D306" s="31"/>
      <c r="E306" s="31"/>
      <c r="F306" s="31"/>
      <c r="G306" s="31"/>
      <c r="H306" s="23" t="str">
        <f t="shared" si="37"/>
        <v/>
      </c>
      <c r="I306" s="31"/>
    </row>
    <row r="307" ht="18.75" customHeight="1">
      <c r="A307" s="30"/>
      <c r="B307" s="30"/>
      <c r="C307" s="30"/>
      <c r="D307" s="30"/>
      <c r="E307" s="30"/>
      <c r="F307" s="30"/>
      <c r="G307" s="30"/>
      <c r="H307" s="27" t="str">
        <f t="shared" si="37"/>
        <v/>
      </c>
      <c r="I307" s="30"/>
    </row>
    <row r="308" ht="18.75" customHeight="1">
      <c r="A308" s="31"/>
      <c r="B308" s="31"/>
      <c r="C308" s="31"/>
      <c r="D308" s="31"/>
      <c r="E308" s="31"/>
      <c r="F308" s="31"/>
      <c r="G308" s="31"/>
      <c r="H308" s="23" t="str">
        <f t="shared" si="37"/>
        <v/>
      </c>
      <c r="I308" s="31"/>
    </row>
    <row r="309" ht="18.75" customHeight="1">
      <c r="A309" s="30"/>
      <c r="B309" s="30"/>
      <c r="C309" s="30"/>
      <c r="D309" s="30"/>
      <c r="E309" s="30"/>
      <c r="F309" s="30"/>
      <c r="G309" s="30"/>
      <c r="H309" s="27" t="str">
        <f t="shared" si="37"/>
        <v/>
      </c>
      <c r="I309" s="30"/>
    </row>
    <row r="310" ht="18.75" customHeight="1">
      <c r="A310" s="31"/>
      <c r="B310" s="31"/>
      <c r="C310" s="31"/>
      <c r="D310" s="31"/>
      <c r="E310" s="31"/>
      <c r="F310" s="31"/>
      <c r="G310" s="31"/>
      <c r="H310" s="23"/>
      <c r="I310" s="31"/>
    </row>
    <row r="311" ht="18.75" customHeight="1">
      <c r="A311" s="30"/>
      <c r="B311" s="30"/>
      <c r="C311" s="30"/>
      <c r="D311" s="30"/>
      <c r="E311" s="30"/>
      <c r="F311" s="30"/>
      <c r="G311" s="30"/>
      <c r="H311" s="27" t="str">
        <f t="shared" ref="H311:H317" si="38">IF(AND(F311="", G311=""), "", SUM($F$12:F311)-SUM($G$12:G311))</f>
        <v/>
      </c>
      <c r="I311" s="30"/>
    </row>
    <row r="312" ht="18.75" customHeight="1">
      <c r="A312" s="31"/>
      <c r="B312" s="31"/>
      <c r="C312" s="31"/>
      <c r="D312" s="31"/>
      <c r="E312" s="31"/>
      <c r="F312" s="31"/>
      <c r="G312" s="31"/>
      <c r="H312" s="23" t="str">
        <f t="shared" si="38"/>
        <v/>
      </c>
      <c r="I312" s="31"/>
    </row>
    <row r="313" ht="18.75" customHeight="1">
      <c r="A313" s="30"/>
      <c r="B313" s="30"/>
      <c r="C313" s="30"/>
      <c r="D313" s="30"/>
      <c r="E313" s="30"/>
      <c r="F313" s="30"/>
      <c r="G313" s="30"/>
      <c r="H313" s="27" t="str">
        <f t="shared" si="38"/>
        <v/>
      </c>
      <c r="I313" s="30"/>
    </row>
    <row r="314" ht="18.75" customHeight="1">
      <c r="A314" s="31"/>
      <c r="B314" s="31"/>
      <c r="C314" s="31"/>
      <c r="D314" s="31"/>
      <c r="E314" s="31"/>
      <c r="F314" s="31"/>
      <c r="G314" s="31"/>
      <c r="H314" s="23" t="str">
        <f t="shared" si="38"/>
        <v/>
      </c>
      <c r="I314" s="31"/>
    </row>
    <row r="315" ht="18.75" customHeight="1">
      <c r="A315" s="30"/>
      <c r="B315" s="30"/>
      <c r="C315" s="30"/>
      <c r="D315" s="30"/>
      <c r="E315" s="30"/>
      <c r="F315" s="30"/>
      <c r="G315" s="30"/>
      <c r="H315" s="27" t="str">
        <f t="shared" si="38"/>
        <v/>
      </c>
      <c r="I315" s="30"/>
    </row>
    <row r="316" ht="18.75" customHeight="1">
      <c r="A316" s="31"/>
      <c r="B316" s="31"/>
      <c r="C316" s="31"/>
      <c r="D316" s="31"/>
      <c r="E316" s="31"/>
      <c r="F316" s="31"/>
      <c r="G316" s="31"/>
      <c r="H316" s="23" t="str">
        <f t="shared" si="38"/>
        <v/>
      </c>
      <c r="I316" s="31"/>
    </row>
    <row r="317" ht="18.75" customHeight="1">
      <c r="A317" s="30"/>
      <c r="B317" s="30"/>
      <c r="C317" s="30"/>
      <c r="D317" s="30"/>
      <c r="E317" s="30"/>
      <c r="F317" s="30"/>
      <c r="G317" s="30"/>
      <c r="H317" s="27" t="str">
        <f t="shared" si="38"/>
        <v/>
      </c>
      <c r="I317" s="30"/>
    </row>
    <row r="318" ht="18.75" customHeight="1">
      <c r="A318" s="31"/>
      <c r="B318" s="31"/>
      <c r="C318" s="31"/>
      <c r="D318" s="31"/>
      <c r="E318" s="31"/>
      <c r="F318" s="31"/>
      <c r="G318" s="31"/>
      <c r="H318" s="23"/>
      <c r="I318" s="31"/>
    </row>
    <row r="319" ht="18.75" customHeight="1">
      <c r="A319" s="30"/>
      <c r="B319" s="30"/>
      <c r="C319" s="30"/>
      <c r="D319" s="30"/>
      <c r="E319" s="30"/>
      <c r="F319" s="30"/>
      <c r="G319" s="30"/>
      <c r="H319" s="27" t="str">
        <f t="shared" ref="H319:H325" si="39">IF(AND(F319="", G319=""), "", SUM($F$12:F319)-SUM($G$12:G319))</f>
        <v/>
      </c>
      <c r="I319" s="30"/>
    </row>
    <row r="320" ht="18.75" customHeight="1">
      <c r="A320" s="31"/>
      <c r="B320" s="31"/>
      <c r="C320" s="31"/>
      <c r="D320" s="31"/>
      <c r="E320" s="31"/>
      <c r="F320" s="31"/>
      <c r="G320" s="31"/>
      <c r="H320" s="23" t="str">
        <f t="shared" si="39"/>
        <v/>
      </c>
      <c r="I320" s="31"/>
    </row>
    <row r="321" ht="18.75" customHeight="1">
      <c r="A321" s="30"/>
      <c r="B321" s="30"/>
      <c r="C321" s="30"/>
      <c r="D321" s="30"/>
      <c r="E321" s="30"/>
      <c r="F321" s="30"/>
      <c r="G321" s="30"/>
      <c r="H321" s="27" t="str">
        <f t="shared" si="39"/>
        <v/>
      </c>
      <c r="I321" s="30"/>
    </row>
    <row r="322" ht="18.75" customHeight="1">
      <c r="A322" s="31"/>
      <c r="B322" s="31"/>
      <c r="C322" s="31"/>
      <c r="D322" s="31"/>
      <c r="E322" s="31"/>
      <c r="F322" s="31"/>
      <c r="G322" s="31"/>
      <c r="H322" s="23" t="str">
        <f t="shared" si="39"/>
        <v/>
      </c>
      <c r="I322" s="31"/>
    </row>
    <row r="323" ht="18.75" customHeight="1">
      <c r="A323" s="30"/>
      <c r="B323" s="30"/>
      <c r="C323" s="30"/>
      <c r="D323" s="30"/>
      <c r="E323" s="30"/>
      <c r="F323" s="30"/>
      <c r="G323" s="30"/>
      <c r="H323" s="27" t="str">
        <f t="shared" si="39"/>
        <v/>
      </c>
      <c r="I323" s="30"/>
    </row>
    <row r="324" ht="18.75" customHeight="1">
      <c r="A324" s="31"/>
      <c r="B324" s="31"/>
      <c r="C324" s="31"/>
      <c r="D324" s="31"/>
      <c r="E324" s="31"/>
      <c r="F324" s="31"/>
      <c r="G324" s="31"/>
      <c r="H324" s="23" t="str">
        <f t="shared" si="39"/>
        <v/>
      </c>
      <c r="I324" s="31"/>
    </row>
    <row r="325" ht="18.75" customHeight="1">
      <c r="A325" s="30"/>
      <c r="B325" s="30"/>
      <c r="C325" s="30"/>
      <c r="D325" s="30"/>
      <c r="E325" s="30"/>
      <c r="F325" s="30"/>
      <c r="G325" s="30"/>
      <c r="H325" s="27" t="str">
        <f t="shared" si="39"/>
        <v/>
      </c>
      <c r="I325" s="30"/>
    </row>
    <row r="326" ht="18.75" customHeight="1">
      <c r="A326" s="31"/>
      <c r="B326" s="31"/>
      <c r="C326" s="31"/>
      <c r="D326" s="31"/>
      <c r="E326" s="31"/>
      <c r="F326" s="31"/>
      <c r="G326" s="31"/>
      <c r="H326" s="23"/>
      <c r="I326" s="31"/>
    </row>
    <row r="327" ht="18.75" customHeight="1">
      <c r="A327" s="30"/>
      <c r="B327" s="30"/>
      <c r="C327" s="30"/>
      <c r="D327" s="30"/>
      <c r="E327" s="30"/>
      <c r="F327" s="30"/>
      <c r="G327" s="30"/>
      <c r="H327" s="27" t="str">
        <f t="shared" ref="H327:H344" si="40">IF(AND(F327="", G327=""), "", SUM($F$12:F327)-SUM($G$12:G327))</f>
        <v/>
      </c>
      <c r="I327" s="30"/>
    </row>
    <row r="328" ht="18.75" customHeight="1">
      <c r="A328" s="31"/>
      <c r="B328" s="31"/>
      <c r="C328" s="31"/>
      <c r="D328" s="31"/>
      <c r="E328" s="31"/>
      <c r="F328" s="31"/>
      <c r="G328" s="31"/>
      <c r="H328" s="23" t="str">
        <f t="shared" si="40"/>
        <v/>
      </c>
      <c r="I328" s="31"/>
    </row>
    <row r="329" ht="18.75" customHeight="1">
      <c r="A329" s="30"/>
      <c r="B329" s="30"/>
      <c r="C329" s="30"/>
      <c r="D329" s="30"/>
      <c r="E329" s="30"/>
      <c r="F329" s="30"/>
      <c r="G329" s="30"/>
      <c r="H329" s="27" t="str">
        <f t="shared" si="40"/>
        <v/>
      </c>
      <c r="I329" s="30"/>
    </row>
    <row r="330" ht="18.75" customHeight="1">
      <c r="A330" s="31"/>
      <c r="B330" s="31"/>
      <c r="C330" s="31"/>
      <c r="D330" s="31"/>
      <c r="E330" s="31"/>
      <c r="F330" s="31"/>
      <c r="G330" s="31"/>
      <c r="H330" s="23" t="str">
        <f t="shared" si="40"/>
        <v/>
      </c>
      <c r="I330" s="31"/>
    </row>
    <row r="331" ht="18.75" customHeight="1">
      <c r="A331" s="30"/>
      <c r="B331" s="30"/>
      <c r="C331" s="30"/>
      <c r="D331" s="30"/>
      <c r="E331" s="30"/>
      <c r="F331" s="30"/>
      <c r="G331" s="30"/>
      <c r="H331" s="27" t="str">
        <f t="shared" si="40"/>
        <v/>
      </c>
      <c r="I331" s="30"/>
    </row>
    <row r="332" ht="18.75" customHeight="1">
      <c r="A332" s="31"/>
      <c r="B332" s="31"/>
      <c r="C332" s="31"/>
      <c r="D332" s="31"/>
      <c r="E332" s="31"/>
      <c r="F332" s="31"/>
      <c r="G332" s="31"/>
      <c r="H332" s="23" t="str">
        <f t="shared" si="40"/>
        <v/>
      </c>
      <c r="I332" s="31"/>
    </row>
    <row r="333" ht="18.75" customHeight="1">
      <c r="A333" s="30"/>
      <c r="B333" s="30"/>
      <c r="C333" s="30"/>
      <c r="D333" s="30"/>
      <c r="E333" s="30"/>
      <c r="F333" s="30"/>
      <c r="G333" s="30"/>
      <c r="H333" s="27" t="str">
        <f t="shared" si="40"/>
        <v/>
      </c>
      <c r="I333" s="30"/>
    </row>
    <row r="334" ht="18.75" customHeight="1">
      <c r="A334" s="31"/>
      <c r="B334" s="31"/>
      <c r="C334" s="31"/>
      <c r="D334" s="31"/>
      <c r="E334" s="31"/>
      <c r="F334" s="31"/>
      <c r="G334" s="31"/>
      <c r="H334" s="23" t="str">
        <f t="shared" si="40"/>
        <v/>
      </c>
      <c r="I334" s="31"/>
    </row>
    <row r="335" ht="18.75" customHeight="1">
      <c r="A335" s="30"/>
      <c r="B335" s="30"/>
      <c r="C335" s="30"/>
      <c r="D335" s="30"/>
      <c r="E335" s="30"/>
      <c r="F335" s="30"/>
      <c r="G335" s="30"/>
      <c r="H335" s="27" t="str">
        <f t="shared" si="40"/>
        <v/>
      </c>
      <c r="I335" s="30"/>
    </row>
    <row r="336" ht="18.75" customHeight="1">
      <c r="A336" s="31"/>
      <c r="B336" s="31"/>
      <c r="C336" s="31"/>
      <c r="D336" s="31"/>
      <c r="E336" s="31"/>
      <c r="F336" s="31"/>
      <c r="G336" s="31"/>
      <c r="H336" s="23" t="str">
        <f t="shared" si="40"/>
        <v/>
      </c>
      <c r="I336" s="31"/>
    </row>
    <row r="337" ht="18.75" customHeight="1">
      <c r="A337" s="30"/>
      <c r="B337" s="30"/>
      <c r="C337" s="30"/>
      <c r="D337" s="30"/>
      <c r="E337" s="30"/>
      <c r="F337" s="30"/>
      <c r="G337" s="30"/>
      <c r="H337" s="27" t="str">
        <f t="shared" si="40"/>
        <v/>
      </c>
      <c r="I337" s="30"/>
    </row>
    <row r="338" ht="18.75" customHeight="1">
      <c r="A338" s="31"/>
      <c r="B338" s="31"/>
      <c r="C338" s="31"/>
      <c r="D338" s="31"/>
      <c r="E338" s="31"/>
      <c r="F338" s="31"/>
      <c r="G338" s="31"/>
      <c r="H338" s="23" t="str">
        <f t="shared" si="40"/>
        <v/>
      </c>
      <c r="I338" s="31"/>
    </row>
    <row r="339" ht="18.75" customHeight="1">
      <c r="A339" s="30"/>
      <c r="B339" s="30"/>
      <c r="C339" s="30"/>
      <c r="D339" s="30"/>
      <c r="E339" s="30"/>
      <c r="F339" s="30"/>
      <c r="G339" s="30"/>
      <c r="H339" s="27" t="str">
        <f t="shared" si="40"/>
        <v/>
      </c>
      <c r="I339" s="30"/>
    </row>
    <row r="340" ht="18.75" customHeight="1">
      <c r="A340" s="31"/>
      <c r="B340" s="31"/>
      <c r="C340" s="31"/>
      <c r="D340" s="31"/>
      <c r="E340" s="31"/>
      <c r="F340" s="31"/>
      <c r="G340" s="31"/>
      <c r="H340" s="23" t="str">
        <f t="shared" si="40"/>
        <v/>
      </c>
      <c r="I340" s="31"/>
    </row>
    <row r="341" ht="18.75" customHeight="1">
      <c r="A341" s="30"/>
      <c r="B341" s="30"/>
      <c r="C341" s="30"/>
      <c r="D341" s="30"/>
      <c r="E341" s="30"/>
      <c r="F341" s="30"/>
      <c r="G341" s="30"/>
      <c r="H341" s="27" t="str">
        <f t="shared" si="40"/>
        <v/>
      </c>
      <c r="I341" s="30"/>
    </row>
    <row r="342" ht="18.75" customHeight="1">
      <c r="A342" s="31"/>
      <c r="B342" s="31"/>
      <c r="C342" s="31"/>
      <c r="D342" s="31"/>
      <c r="E342" s="31"/>
      <c r="F342" s="31"/>
      <c r="G342" s="31"/>
      <c r="H342" s="23" t="str">
        <f t="shared" si="40"/>
        <v/>
      </c>
      <c r="I342" s="31"/>
    </row>
    <row r="343" ht="18.75" customHeight="1">
      <c r="A343" s="30"/>
      <c r="B343" s="30"/>
      <c r="C343" s="30"/>
      <c r="D343" s="30"/>
      <c r="E343" s="30"/>
      <c r="F343" s="30"/>
      <c r="G343" s="30"/>
      <c r="H343" s="27" t="str">
        <f t="shared" si="40"/>
        <v/>
      </c>
      <c r="I343" s="30"/>
    </row>
    <row r="344" ht="18.75" customHeight="1">
      <c r="A344" s="31"/>
      <c r="B344" s="31"/>
      <c r="C344" s="31"/>
      <c r="D344" s="31"/>
      <c r="E344" s="31"/>
      <c r="F344" s="31"/>
      <c r="G344" s="31"/>
      <c r="H344" s="23" t="str">
        <f t="shared" si="40"/>
        <v/>
      </c>
      <c r="I344" s="31"/>
    </row>
    <row r="345" ht="24.0" customHeight="1">
      <c r="A345" s="37" t="s">
        <v>71</v>
      </c>
      <c r="B345" s="38"/>
      <c r="C345" s="38"/>
      <c r="D345" s="38"/>
      <c r="E345" s="39"/>
      <c r="F345" s="40">
        <f t="shared" ref="F345:G345" si="41">SUM(F12:F344)</f>
        <v>1000000</v>
      </c>
      <c r="G345" s="40">
        <f t="shared" si="41"/>
        <v>0</v>
      </c>
      <c r="H345" s="40">
        <f>F345-G345</f>
        <v>1000000</v>
      </c>
      <c r="I345" s="49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">
    <mergeCell ref="B9:C9"/>
    <mergeCell ref="A345:E345"/>
    <mergeCell ref="A1:I1"/>
    <mergeCell ref="A2:I2"/>
    <mergeCell ref="B4:C4"/>
    <mergeCell ref="B5:C5"/>
    <mergeCell ref="B6:C6"/>
    <mergeCell ref="B7:C7"/>
    <mergeCell ref="B8:C8"/>
  </mergeCells>
  <printOptions/>
  <pageMargins bottom="1.0" footer="0.0" header="0.0" left="0.75" right="0.75" top="1.0"/>
  <pageSetup orientation="landscape"/>
  <drawing r:id="rId1"/>
</worksheet>
</file>